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uka\Bartek\"/>
    </mc:Choice>
  </mc:AlternateContent>
  <xr:revisionPtr revIDLastSave="0" documentId="13_ncr:1_{AD895BD3-E052-451E-9F7A-BCF30AA70113}" xr6:coauthVersionLast="47" xr6:coauthVersionMax="47" xr10:uidLastSave="{00000000-0000-0000-0000-000000000000}"/>
  <bookViews>
    <workbookView xWindow="-120" yWindow="-120" windowWidth="29040" windowHeight="17520" xr2:uid="{F3380A55-3FE6-4640-963F-9BEA4EE4B6F3}"/>
  </bookViews>
  <sheets>
    <sheet name="Calend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09" i="1" l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E509" i="1" a="1"/>
  <c r="E509" i="1" s="1"/>
  <c r="E510" i="1" a="1"/>
  <c r="E510" i="1" s="1"/>
  <c r="E511" i="1" a="1"/>
  <c r="E511" i="1" s="1"/>
  <c r="E512" i="1" a="1"/>
  <c r="E512" i="1" s="1"/>
  <c r="E513" i="1" a="1"/>
  <c r="E513" i="1" s="1"/>
  <c r="E514" i="1" a="1"/>
  <c r="E514" i="1" s="1"/>
  <c r="E515" i="1" a="1"/>
  <c r="E515" i="1" s="1"/>
  <c r="E516" i="1" a="1"/>
  <c r="E516" i="1" s="1"/>
  <c r="E517" i="1" a="1"/>
  <c r="E517" i="1" s="1"/>
  <c r="E518" i="1" a="1"/>
  <c r="E518" i="1" s="1"/>
  <c r="E519" i="1" a="1"/>
  <c r="E519" i="1" s="1"/>
  <c r="E520" i="1" a="1"/>
  <c r="E520" i="1" s="1"/>
  <c r="E521" i="1" a="1"/>
  <c r="E521" i="1" s="1"/>
  <c r="E522" i="1" a="1"/>
  <c r="E522" i="1" s="1"/>
  <c r="E523" i="1" a="1"/>
  <c r="E523" i="1" s="1"/>
  <c r="E524" i="1" a="1"/>
  <c r="E524" i="1" s="1"/>
  <c r="E525" i="1" a="1"/>
  <c r="E525" i="1" s="1"/>
  <c r="E526" i="1" a="1"/>
  <c r="E526" i="1" s="1"/>
  <c r="E527" i="1" a="1"/>
  <c r="E527" i="1" s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H509" i="1"/>
  <c r="B509" i="1" s="1" a="1"/>
  <c r="B509" i="1" s="1"/>
  <c r="H510" i="1"/>
  <c r="B510" i="1" s="1" a="1"/>
  <c r="B510" i="1" s="1"/>
  <c r="H511" i="1"/>
  <c r="B511" i="1" s="1" a="1"/>
  <c r="B511" i="1" s="1"/>
  <c r="H512" i="1"/>
  <c r="B512" i="1" s="1" a="1"/>
  <c r="B512" i="1" s="1"/>
  <c r="H513" i="1"/>
  <c r="B513" i="1" s="1" a="1"/>
  <c r="B513" i="1" s="1"/>
  <c r="H514" i="1"/>
  <c r="B514" i="1" s="1" a="1"/>
  <c r="B514" i="1" s="1"/>
  <c r="H515" i="1"/>
  <c r="B515" i="1" s="1" a="1"/>
  <c r="B515" i="1" s="1"/>
  <c r="H516" i="1"/>
  <c r="B516" i="1" s="1" a="1"/>
  <c r="B516" i="1" s="1"/>
  <c r="H517" i="1"/>
  <c r="B517" i="1" s="1" a="1"/>
  <c r="B517" i="1" s="1"/>
  <c r="H518" i="1"/>
  <c r="B518" i="1" s="1" a="1"/>
  <c r="B518" i="1" s="1"/>
  <c r="H519" i="1"/>
  <c r="B519" i="1" s="1" a="1"/>
  <c r="B519" i="1" s="1"/>
  <c r="H520" i="1"/>
  <c r="B520" i="1" s="1" a="1"/>
  <c r="B520" i="1" s="1"/>
  <c r="H521" i="1"/>
  <c r="B521" i="1" s="1" a="1"/>
  <c r="B521" i="1" s="1"/>
  <c r="H522" i="1"/>
  <c r="B522" i="1" s="1" a="1"/>
  <c r="B522" i="1" s="1"/>
  <c r="H523" i="1"/>
  <c r="B523" i="1" s="1" a="1"/>
  <c r="B523" i="1" s="1"/>
  <c r="H524" i="1"/>
  <c r="B524" i="1" s="1" a="1"/>
  <c r="B524" i="1" s="1"/>
  <c r="H525" i="1"/>
  <c r="B525" i="1" s="1" a="1"/>
  <c r="B525" i="1" s="1"/>
  <c r="H526" i="1"/>
  <c r="B526" i="1" s="1" a="1"/>
  <c r="B526" i="1" s="1"/>
  <c r="H527" i="1"/>
  <c r="B527" i="1" s="1" a="1"/>
  <c r="B527" i="1" s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J509" i="1" a="1"/>
  <c r="J509" i="1" s="1"/>
  <c r="J510" i="1" a="1"/>
  <c r="J510" i="1" s="1"/>
  <c r="J511" i="1" a="1"/>
  <c r="J511" i="1" s="1"/>
  <c r="J512" i="1" a="1"/>
  <c r="J512" i="1" s="1"/>
  <c r="J513" i="1" a="1"/>
  <c r="J513" i="1" s="1"/>
  <c r="J514" i="1" a="1"/>
  <c r="J514" i="1" s="1"/>
  <c r="J515" i="1" a="1"/>
  <c r="J515" i="1" s="1"/>
  <c r="J516" i="1" a="1"/>
  <c r="J516" i="1"/>
  <c r="J517" i="1" a="1"/>
  <c r="J517" i="1" s="1"/>
  <c r="J518" i="1" a="1"/>
  <c r="J518" i="1" s="1"/>
  <c r="J519" i="1" a="1"/>
  <c r="J519" i="1" s="1"/>
  <c r="J520" i="1" a="1"/>
  <c r="J520" i="1" s="1"/>
  <c r="J521" i="1" a="1"/>
  <c r="J521" i="1" s="1"/>
  <c r="J522" i="1" a="1"/>
  <c r="J522" i="1" s="1"/>
  <c r="J523" i="1" a="1"/>
  <c r="J523" i="1" s="1"/>
  <c r="J524" i="1" a="1"/>
  <c r="J524" i="1" s="1"/>
  <c r="J525" i="1" a="1"/>
  <c r="J525" i="1" s="1"/>
  <c r="J526" i="1" a="1"/>
  <c r="J526" i="1" s="1"/>
  <c r="J527" i="1" a="1"/>
  <c r="J527" i="1" s="1"/>
  <c r="C2" i="1"/>
  <c r="D2" i="1"/>
  <c r="E2" i="1" a="1"/>
  <c r="E2" i="1" s="1"/>
  <c r="F2" i="1"/>
  <c r="G2" i="1"/>
  <c r="H2" i="1"/>
  <c r="I2" i="1"/>
  <c r="C3" i="1"/>
  <c r="D3" i="1"/>
  <c r="E3" i="1" a="1"/>
  <c r="E3" i="1" s="1"/>
  <c r="F3" i="1"/>
  <c r="G3" i="1"/>
  <c r="H3" i="1"/>
  <c r="I3" i="1"/>
  <c r="C4" i="1"/>
  <c r="D4" i="1"/>
  <c r="E4" i="1" a="1"/>
  <c r="E4" i="1"/>
  <c r="F4" i="1"/>
  <c r="G4" i="1"/>
  <c r="H4" i="1"/>
  <c r="I4" i="1"/>
  <c r="C5" i="1"/>
  <c r="D5" i="1"/>
  <c r="E5" i="1" a="1"/>
  <c r="E5" i="1" s="1"/>
  <c r="F5" i="1"/>
  <c r="G5" i="1"/>
  <c r="H5" i="1"/>
  <c r="I5" i="1"/>
  <c r="C6" i="1"/>
  <c r="D6" i="1"/>
  <c r="E6" i="1" a="1"/>
  <c r="E6" i="1" s="1"/>
  <c r="F6" i="1"/>
  <c r="G6" i="1"/>
  <c r="H6" i="1"/>
  <c r="I6" i="1"/>
  <c r="C7" i="1"/>
  <c r="D7" i="1"/>
  <c r="E7" i="1" a="1"/>
  <c r="E7" i="1" s="1"/>
  <c r="F7" i="1"/>
  <c r="G7" i="1"/>
  <c r="H7" i="1"/>
  <c r="I7" i="1"/>
  <c r="C8" i="1"/>
  <c r="D8" i="1"/>
  <c r="E8" i="1" a="1"/>
  <c r="E8" i="1"/>
  <c r="F8" i="1"/>
  <c r="G8" i="1"/>
  <c r="H8" i="1"/>
  <c r="I8" i="1"/>
  <c r="C9" i="1"/>
  <c r="D9" i="1"/>
  <c r="E9" i="1" a="1"/>
  <c r="E9" i="1" s="1"/>
  <c r="F9" i="1"/>
  <c r="G9" i="1"/>
  <c r="H9" i="1"/>
  <c r="I9" i="1"/>
  <c r="C10" i="1"/>
  <c r="D10" i="1"/>
  <c r="E10" i="1" a="1"/>
  <c r="E10" i="1" s="1"/>
  <c r="F10" i="1"/>
  <c r="G10" i="1"/>
  <c r="H10" i="1"/>
  <c r="I10" i="1"/>
  <c r="C11" i="1"/>
  <c r="D11" i="1"/>
  <c r="E11" i="1" a="1"/>
  <c r="E11" i="1" s="1"/>
  <c r="F11" i="1"/>
  <c r="G11" i="1"/>
  <c r="H11" i="1"/>
  <c r="I11" i="1"/>
  <c r="C12" i="1"/>
  <c r="D12" i="1"/>
  <c r="E12" i="1" a="1"/>
  <c r="E12" i="1"/>
  <c r="F12" i="1"/>
  <c r="G12" i="1"/>
  <c r="H12" i="1"/>
  <c r="I12" i="1"/>
  <c r="C13" i="1"/>
  <c r="D13" i="1"/>
  <c r="E13" i="1" a="1"/>
  <c r="E13" i="1" s="1"/>
  <c r="F13" i="1"/>
  <c r="G13" i="1"/>
  <c r="H13" i="1"/>
  <c r="I13" i="1"/>
  <c r="C14" i="1"/>
  <c r="D14" i="1"/>
  <c r="E14" i="1" a="1"/>
  <c r="E14" i="1" s="1"/>
  <c r="F14" i="1"/>
  <c r="G14" i="1"/>
  <c r="H14" i="1"/>
  <c r="I14" i="1"/>
  <c r="C15" i="1"/>
  <c r="D15" i="1"/>
  <c r="E15" i="1" a="1"/>
  <c r="E15" i="1" s="1"/>
  <c r="F15" i="1"/>
  <c r="G15" i="1"/>
  <c r="H15" i="1"/>
  <c r="I15" i="1"/>
  <c r="C16" i="1"/>
  <c r="D16" i="1"/>
  <c r="E16" i="1" a="1"/>
  <c r="E16" i="1"/>
  <c r="F16" i="1"/>
  <c r="G16" i="1"/>
  <c r="H16" i="1"/>
  <c r="I16" i="1"/>
  <c r="C17" i="1"/>
  <c r="D17" i="1"/>
  <c r="E17" i="1" a="1"/>
  <c r="E17" i="1" s="1"/>
  <c r="F17" i="1"/>
  <c r="G17" i="1"/>
  <c r="H17" i="1"/>
  <c r="I17" i="1"/>
  <c r="C18" i="1"/>
  <c r="D18" i="1"/>
  <c r="E18" i="1" a="1"/>
  <c r="E18" i="1" s="1"/>
  <c r="F18" i="1"/>
  <c r="G18" i="1"/>
  <c r="H18" i="1"/>
  <c r="I18" i="1"/>
  <c r="C19" i="1"/>
  <c r="D19" i="1"/>
  <c r="E19" i="1" a="1"/>
  <c r="E19" i="1" s="1"/>
  <c r="F19" i="1"/>
  <c r="G19" i="1"/>
  <c r="H19" i="1"/>
  <c r="I19" i="1"/>
  <c r="C20" i="1"/>
  <c r="D20" i="1"/>
  <c r="E20" i="1" a="1"/>
  <c r="E20" i="1"/>
  <c r="F20" i="1"/>
  <c r="G20" i="1"/>
  <c r="H20" i="1"/>
  <c r="I20" i="1"/>
  <c r="C21" i="1"/>
  <c r="D21" i="1"/>
  <c r="E21" i="1" a="1"/>
  <c r="E21" i="1" s="1"/>
  <c r="F21" i="1"/>
  <c r="G21" i="1"/>
  <c r="H21" i="1"/>
  <c r="I21" i="1"/>
  <c r="C22" i="1"/>
  <c r="D22" i="1"/>
  <c r="E22" i="1" a="1"/>
  <c r="E22" i="1" s="1"/>
  <c r="F22" i="1"/>
  <c r="G22" i="1"/>
  <c r="H22" i="1"/>
  <c r="I22" i="1"/>
  <c r="C23" i="1"/>
  <c r="D23" i="1"/>
  <c r="E23" i="1" a="1"/>
  <c r="E23" i="1" s="1"/>
  <c r="F23" i="1"/>
  <c r="G23" i="1"/>
  <c r="H23" i="1"/>
  <c r="I23" i="1"/>
  <c r="C24" i="1"/>
  <c r="D24" i="1"/>
  <c r="E24" i="1" a="1"/>
  <c r="E24" i="1"/>
  <c r="F24" i="1"/>
  <c r="G24" i="1"/>
  <c r="H24" i="1"/>
  <c r="I24" i="1"/>
  <c r="C25" i="1"/>
  <c r="D25" i="1"/>
  <c r="E25" i="1" a="1"/>
  <c r="E25" i="1" s="1"/>
  <c r="F25" i="1"/>
  <c r="G25" i="1"/>
  <c r="H25" i="1"/>
  <c r="I25" i="1"/>
  <c r="C26" i="1"/>
  <c r="D26" i="1"/>
  <c r="E26" i="1" a="1"/>
  <c r="E26" i="1" s="1"/>
  <c r="F26" i="1"/>
  <c r="G26" i="1"/>
  <c r="H26" i="1"/>
  <c r="I26" i="1"/>
  <c r="C27" i="1"/>
  <c r="D27" i="1"/>
  <c r="E27" i="1" a="1"/>
  <c r="E27" i="1" s="1"/>
  <c r="F27" i="1"/>
  <c r="G27" i="1"/>
  <c r="H27" i="1"/>
  <c r="I27" i="1"/>
  <c r="C28" i="1"/>
  <c r="D28" i="1"/>
  <c r="E28" i="1" a="1"/>
  <c r="E28" i="1"/>
  <c r="F28" i="1"/>
  <c r="G28" i="1"/>
  <c r="H28" i="1"/>
  <c r="I28" i="1"/>
  <c r="C29" i="1"/>
  <c r="D29" i="1"/>
  <c r="E29" i="1" a="1"/>
  <c r="E29" i="1" s="1"/>
  <c r="F29" i="1"/>
  <c r="G29" i="1"/>
  <c r="H29" i="1"/>
  <c r="I29" i="1"/>
  <c r="C30" i="1"/>
  <c r="D30" i="1"/>
  <c r="E30" i="1" a="1"/>
  <c r="E30" i="1" s="1"/>
  <c r="F30" i="1"/>
  <c r="G30" i="1"/>
  <c r="H30" i="1"/>
  <c r="I30" i="1"/>
  <c r="C31" i="1"/>
  <c r="D31" i="1"/>
  <c r="E31" i="1" a="1"/>
  <c r="E31" i="1" s="1"/>
  <c r="F31" i="1"/>
  <c r="G31" i="1"/>
  <c r="H31" i="1"/>
  <c r="I31" i="1"/>
  <c r="C32" i="1"/>
  <c r="D32" i="1"/>
  <c r="E32" i="1" a="1"/>
  <c r="E32" i="1"/>
  <c r="F32" i="1"/>
  <c r="G32" i="1"/>
  <c r="H32" i="1"/>
  <c r="I32" i="1"/>
  <c r="C33" i="1"/>
  <c r="D33" i="1"/>
  <c r="E33" i="1" a="1"/>
  <c r="E33" i="1" s="1"/>
  <c r="F33" i="1"/>
  <c r="G33" i="1"/>
  <c r="H33" i="1"/>
  <c r="I33" i="1"/>
  <c r="C34" i="1"/>
  <c r="D34" i="1"/>
  <c r="E34" i="1" a="1"/>
  <c r="E34" i="1" s="1"/>
  <c r="F34" i="1"/>
  <c r="G34" i="1"/>
  <c r="H34" i="1"/>
  <c r="I34" i="1"/>
  <c r="C35" i="1"/>
  <c r="D35" i="1"/>
  <c r="E35" i="1" a="1"/>
  <c r="E35" i="1" s="1"/>
  <c r="F35" i="1"/>
  <c r="G35" i="1"/>
  <c r="H35" i="1"/>
  <c r="I35" i="1"/>
  <c r="C36" i="1"/>
  <c r="D36" i="1"/>
  <c r="E36" i="1" a="1"/>
  <c r="E36" i="1"/>
  <c r="F36" i="1"/>
  <c r="G36" i="1"/>
  <c r="H36" i="1"/>
  <c r="I36" i="1"/>
  <c r="C37" i="1"/>
  <c r="D37" i="1"/>
  <c r="E37" i="1" a="1"/>
  <c r="E37" i="1" s="1"/>
  <c r="F37" i="1"/>
  <c r="G37" i="1"/>
  <c r="H37" i="1"/>
  <c r="I37" i="1"/>
  <c r="C38" i="1"/>
  <c r="D38" i="1"/>
  <c r="E38" i="1" a="1"/>
  <c r="E38" i="1" s="1"/>
  <c r="F38" i="1"/>
  <c r="G38" i="1"/>
  <c r="H38" i="1"/>
  <c r="I38" i="1"/>
  <c r="C39" i="1"/>
  <c r="D39" i="1"/>
  <c r="E39" i="1" a="1"/>
  <c r="E39" i="1" s="1"/>
  <c r="F39" i="1"/>
  <c r="G39" i="1"/>
  <c r="H39" i="1"/>
  <c r="I39" i="1"/>
  <c r="C40" i="1"/>
  <c r="D40" i="1"/>
  <c r="E40" i="1" a="1"/>
  <c r="E40" i="1"/>
  <c r="F40" i="1"/>
  <c r="G40" i="1"/>
  <c r="H40" i="1"/>
  <c r="I40" i="1"/>
  <c r="C41" i="1"/>
  <c r="D41" i="1"/>
  <c r="E41" i="1" a="1"/>
  <c r="E41" i="1" s="1"/>
  <c r="F41" i="1"/>
  <c r="G41" i="1"/>
  <c r="H41" i="1"/>
  <c r="I41" i="1"/>
  <c r="C42" i="1"/>
  <c r="D42" i="1"/>
  <c r="E42" i="1" a="1"/>
  <c r="E42" i="1" s="1"/>
  <c r="F42" i="1"/>
  <c r="G42" i="1"/>
  <c r="H42" i="1"/>
  <c r="I42" i="1"/>
  <c r="C43" i="1"/>
  <c r="D43" i="1"/>
  <c r="E43" i="1" a="1"/>
  <c r="E43" i="1" s="1"/>
  <c r="F43" i="1"/>
  <c r="G43" i="1"/>
  <c r="H43" i="1"/>
  <c r="I43" i="1"/>
  <c r="C44" i="1"/>
  <c r="D44" i="1"/>
  <c r="E44" i="1" a="1"/>
  <c r="E44" i="1"/>
  <c r="F44" i="1"/>
  <c r="G44" i="1"/>
  <c r="H44" i="1"/>
  <c r="I44" i="1"/>
  <c r="C45" i="1"/>
  <c r="D45" i="1"/>
  <c r="E45" i="1" a="1"/>
  <c r="E45" i="1" s="1"/>
  <c r="F45" i="1"/>
  <c r="G45" i="1"/>
  <c r="H45" i="1"/>
  <c r="I45" i="1"/>
  <c r="C46" i="1"/>
  <c r="D46" i="1"/>
  <c r="E46" i="1" a="1"/>
  <c r="E46" i="1" s="1"/>
  <c r="F46" i="1"/>
  <c r="G46" i="1"/>
  <c r="H46" i="1"/>
  <c r="I46" i="1"/>
  <c r="C47" i="1"/>
  <c r="D47" i="1"/>
  <c r="E47" i="1" a="1"/>
  <c r="E47" i="1" s="1"/>
  <c r="F47" i="1"/>
  <c r="G47" i="1"/>
  <c r="H47" i="1"/>
  <c r="I47" i="1"/>
  <c r="C48" i="1"/>
  <c r="D48" i="1"/>
  <c r="E48" i="1" a="1"/>
  <c r="E48" i="1"/>
  <c r="F48" i="1"/>
  <c r="G48" i="1"/>
  <c r="H48" i="1"/>
  <c r="I48" i="1"/>
  <c r="C49" i="1"/>
  <c r="D49" i="1"/>
  <c r="E49" i="1" a="1"/>
  <c r="E49" i="1" s="1"/>
  <c r="F49" i="1"/>
  <c r="G49" i="1"/>
  <c r="H49" i="1"/>
  <c r="I49" i="1"/>
  <c r="C50" i="1"/>
  <c r="D50" i="1"/>
  <c r="E50" i="1" a="1"/>
  <c r="E50" i="1" s="1"/>
  <c r="F50" i="1"/>
  <c r="G50" i="1"/>
  <c r="H50" i="1"/>
  <c r="I50" i="1"/>
  <c r="C51" i="1"/>
  <c r="D51" i="1"/>
  <c r="E51" i="1" a="1"/>
  <c r="E51" i="1" s="1"/>
  <c r="F51" i="1"/>
  <c r="G51" i="1"/>
  <c r="H51" i="1"/>
  <c r="I51" i="1"/>
  <c r="C52" i="1"/>
  <c r="D52" i="1"/>
  <c r="E52" i="1" a="1"/>
  <c r="E52" i="1"/>
  <c r="F52" i="1"/>
  <c r="G52" i="1"/>
  <c r="H52" i="1"/>
  <c r="I52" i="1"/>
  <c r="C53" i="1"/>
  <c r="D53" i="1"/>
  <c r="E53" i="1" a="1"/>
  <c r="E53" i="1" s="1"/>
  <c r="F53" i="1"/>
  <c r="G53" i="1"/>
  <c r="H53" i="1"/>
  <c r="I53" i="1"/>
  <c r="C54" i="1"/>
  <c r="D54" i="1"/>
  <c r="E54" i="1" a="1"/>
  <c r="E54" i="1"/>
  <c r="F54" i="1"/>
  <c r="G54" i="1"/>
  <c r="H54" i="1"/>
  <c r="J54" i="1" s="1" a="1"/>
  <c r="J54" i="1" s="1"/>
  <c r="I54" i="1"/>
  <c r="B55" i="1" a="1"/>
  <c r="B55" i="1" s="1"/>
  <c r="C55" i="1"/>
  <c r="D55" i="1"/>
  <c r="E55" i="1" a="1"/>
  <c r="E55" i="1" s="1"/>
  <c r="F55" i="1"/>
  <c r="G55" i="1"/>
  <c r="H55" i="1"/>
  <c r="J55" i="1" s="1" a="1"/>
  <c r="J55" i="1" s="1"/>
  <c r="I55" i="1"/>
  <c r="B56" i="1" a="1"/>
  <c r="B56" i="1" s="1"/>
  <c r="C56" i="1"/>
  <c r="D56" i="1"/>
  <c r="E56" i="1" a="1"/>
  <c r="E56" i="1" s="1"/>
  <c r="F56" i="1"/>
  <c r="G56" i="1"/>
  <c r="H56" i="1"/>
  <c r="J56" i="1" s="1" a="1"/>
  <c r="J56" i="1" s="1"/>
  <c r="I56" i="1"/>
  <c r="C57" i="1"/>
  <c r="D57" i="1"/>
  <c r="E57" i="1" a="1"/>
  <c r="E57" i="1" s="1"/>
  <c r="F57" i="1"/>
  <c r="G57" i="1"/>
  <c r="H57" i="1"/>
  <c r="I57" i="1"/>
  <c r="C58" i="1"/>
  <c r="D58" i="1"/>
  <c r="E58" i="1" a="1"/>
  <c r="E58" i="1" s="1"/>
  <c r="F58" i="1"/>
  <c r="G58" i="1"/>
  <c r="H58" i="1"/>
  <c r="J58" i="1" s="1" a="1"/>
  <c r="J58" i="1" s="1"/>
  <c r="I58" i="1"/>
  <c r="C59" i="1"/>
  <c r="D59" i="1"/>
  <c r="E59" i="1" a="1"/>
  <c r="E59" i="1" s="1"/>
  <c r="F59" i="1"/>
  <c r="G59" i="1"/>
  <c r="H59" i="1"/>
  <c r="J59" i="1" s="1" a="1"/>
  <c r="J59" i="1" s="1"/>
  <c r="I59" i="1"/>
  <c r="C60" i="1"/>
  <c r="D60" i="1"/>
  <c r="E60" i="1" a="1"/>
  <c r="E60" i="1"/>
  <c r="F60" i="1"/>
  <c r="G60" i="1"/>
  <c r="H60" i="1"/>
  <c r="I60" i="1"/>
  <c r="B61" i="1" a="1"/>
  <c r="B61" i="1" s="1"/>
  <c r="C61" i="1"/>
  <c r="D61" i="1"/>
  <c r="E61" i="1" a="1"/>
  <c r="E61" i="1" s="1"/>
  <c r="F61" i="1"/>
  <c r="G61" i="1"/>
  <c r="H61" i="1"/>
  <c r="J61" i="1" s="1" a="1"/>
  <c r="J61" i="1" s="1"/>
  <c r="I61" i="1"/>
  <c r="B62" i="1" a="1"/>
  <c r="B62" i="1" s="1"/>
  <c r="C62" i="1"/>
  <c r="D62" i="1"/>
  <c r="E62" i="1" a="1"/>
  <c r="E62" i="1" s="1"/>
  <c r="F62" i="1"/>
  <c r="G62" i="1"/>
  <c r="H62" i="1"/>
  <c r="J62" i="1" s="1" a="1"/>
  <c r="J62" i="1" s="1"/>
  <c r="I62" i="1"/>
  <c r="C63" i="1"/>
  <c r="D63" i="1"/>
  <c r="E63" i="1" a="1"/>
  <c r="E63" i="1" s="1"/>
  <c r="F63" i="1"/>
  <c r="G63" i="1"/>
  <c r="H63" i="1"/>
  <c r="I63" i="1"/>
  <c r="C64" i="1"/>
  <c r="D64" i="1"/>
  <c r="E64" i="1" a="1"/>
  <c r="E64" i="1" s="1"/>
  <c r="F64" i="1"/>
  <c r="G64" i="1"/>
  <c r="H64" i="1"/>
  <c r="J64" i="1" s="1" a="1"/>
  <c r="J64" i="1" s="1"/>
  <c r="I64" i="1"/>
  <c r="C65" i="1"/>
  <c r="D65" i="1"/>
  <c r="E65" i="1" a="1"/>
  <c r="E65" i="1" s="1"/>
  <c r="F65" i="1"/>
  <c r="G65" i="1"/>
  <c r="H65" i="1"/>
  <c r="J65" i="1" s="1" a="1"/>
  <c r="J65" i="1" s="1"/>
  <c r="I65" i="1"/>
  <c r="C66" i="1"/>
  <c r="D66" i="1"/>
  <c r="E66" i="1" a="1"/>
  <c r="E66" i="1" s="1"/>
  <c r="F66" i="1"/>
  <c r="G66" i="1"/>
  <c r="H66" i="1"/>
  <c r="B66" i="1" s="1" a="1"/>
  <c r="B66" i="1" s="1"/>
  <c r="I66" i="1"/>
  <c r="J66" i="1" a="1"/>
  <c r="J66" i="1" s="1"/>
  <c r="C67" i="1"/>
  <c r="D67" i="1"/>
  <c r="E67" i="1" a="1"/>
  <c r="E67" i="1"/>
  <c r="F67" i="1"/>
  <c r="G67" i="1"/>
  <c r="H67" i="1"/>
  <c r="B67" i="1" s="1" a="1"/>
  <c r="B67" i="1" s="1"/>
  <c r="I67" i="1"/>
  <c r="J67" i="1" a="1"/>
  <c r="J67" i="1" s="1"/>
  <c r="B68" i="1" a="1"/>
  <c r="B68" i="1" s="1"/>
  <c r="C68" i="1"/>
  <c r="D68" i="1"/>
  <c r="E68" i="1" a="1"/>
  <c r="E68" i="1" s="1"/>
  <c r="F68" i="1"/>
  <c r="G68" i="1"/>
  <c r="H68" i="1"/>
  <c r="I68" i="1"/>
  <c r="J68" i="1" a="1"/>
  <c r="J68" i="1" s="1"/>
  <c r="B69" i="1" a="1"/>
  <c r="B69" i="1" s="1"/>
  <c r="C69" i="1"/>
  <c r="D69" i="1"/>
  <c r="E69" i="1" a="1"/>
  <c r="E69" i="1" s="1"/>
  <c r="F69" i="1"/>
  <c r="G69" i="1"/>
  <c r="H69" i="1"/>
  <c r="I69" i="1"/>
  <c r="J69" i="1" a="1"/>
  <c r="J69" i="1" s="1"/>
  <c r="C70" i="1"/>
  <c r="D70" i="1"/>
  <c r="E70" i="1" a="1"/>
  <c r="E70" i="1"/>
  <c r="F70" i="1"/>
  <c r="G70" i="1"/>
  <c r="H70" i="1"/>
  <c r="I70" i="1"/>
  <c r="B71" i="1" a="1"/>
  <c r="B71" i="1" s="1"/>
  <c r="C71" i="1"/>
  <c r="D71" i="1"/>
  <c r="E71" i="1" a="1"/>
  <c r="E71" i="1" s="1"/>
  <c r="F71" i="1"/>
  <c r="G71" i="1"/>
  <c r="H71" i="1"/>
  <c r="J71" i="1" s="1" a="1"/>
  <c r="J71" i="1" s="1"/>
  <c r="I71" i="1"/>
  <c r="B72" i="1"/>
  <c r="C72" i="1"/>
  <c r="D72" i="1"/>
  <c r="E72" i="1" a="1"/>
  <c r="E72" i="1" s="1"/>
  <c r="F72" i="1"/>
  <c r="G72" i="1"/>
  <c r="H72" i="1"/>
  <c r="B72" i="1" s="1" a="1"/>
  <c r="I72" i="1"/>
  <c r="J72" i="1" a="1"/>
  <c r="J72" i="1" s="1"/>
  <c r="C73" i="1"/>
  <c r="D73" i="1"/>
  <c r="E73" i="1" a="1"/>
  <c r="E73" i="1" s="1"/>
  <c r="F73" i="1"/>
  <c r="G73" i="1"/>
  <c r="H73" i="1"/>
  <c r="I73" i="1"/>
  <c r="B74" i="1" a="1"/>
  <c r="B74" i="1" s="1"/>
  <c r="C74" i="1"/>
  <c r="D74" i="1"/>
  <c r="E74" i="1" a="1"/>
  <c r="E74" i="1"/>
  <c r="F74" i="1"/>
  <c r="G74" i="1"/>
  <c r="H74" i="1"/>
  <c r="I74" i="1"/>
  <c r="J74" i="1" a="1"/>
  <c r="J74" i="1" s="1"/>
  <c r="B75" i="1"/>
  <c r="C75" i="1"/>
  <c r="D75" i="1"/>
  <c r="E75" i="1" a="1"/>
  <c r="E75" i="1" s="1"/>
  <c r="F75" i="1"/>
  <c r="G75" i="1"/>
  <c r="H75" i="1"/>
  <c r="B75" i="1" s="1" a="1"/>
  <c r="I75" i="1"/>
  <c r="J75" i="1" a="1"/>
  <c r="J75" i="1" s="1"/>
  <c r="C76" i="1"/>
  <c r="D76" i="1"/>
  <c r="E76" i="1" a="1"/>
  <c r="E76" i="1"/>
  <c r="F76" i="1"/>
  <c r="G76" i="1"/>
  <c r="H76" i="1"/>
  <c r="I76" i="1"/>
  <c r="C77" i="1"/>
  <c r="D77" i="1"/>
  <c r="E77" i="1" a="1"/>
  <c r="E77" i="1" s="1"/>
  <c r="F77" i="1"/>
  <c r="G77" i="1"/>
  <c r="H77" i="1"/>
  <c r="J77" i="1" s="1" a="1"/>
  <c r="J77" i="1" s="1"/>
  <c r="I77" i="1"/>
  <c r="B78" i="1"/>
  <c r="C78" i="1"/>
  <c r="D78" i="1"/>
  <c r="E78" i="1" a="1"/>
  <c r="E78" i="1" s="1"/>
  <c r="F78" i="1"/>
  <c r="G78" i="1"/>
  <c r="H78" i="1"/>
  <c r="B78" i="1" s="1" a="1"/>
  <c r="I78" i="1"/>
  <c r="J78" i="1" a="1"/>
  <c r="J78" i="1" s="1"/>
  <c r="C79" i="1"/>
  <c r="D79" i="1"/>
  <c r="E79" i="1" a="1"/>
  <c r="E79" i="1"/>
  <c r="F79" i="1"/>
  <c r="G79" i="1"/>
  <c r="H79" i="1"/>
  <c r="I79" i="1"/>
  <c r="B80" i="1" a="1"/>
  <c r="B80" i="1" s="1"/>
  <c r="C80" i="1"/>
  <c r="D80" i="1"/>
  <c r="E80" i="1" a="1"/>
  <c r="E80" i="1" s="1"/>
  <c r="F80" i="1"/>
  <c r="G80" i="1"/>
  <c r="H80" i="1"/>
  <c r="I80" i="1"/>
  <c r="J80" i="1" a="1"/>
  <c r="J80" i="1" s="1"/>
  <c r="B81" i="1" a="1"/>
  <c r="B81" i="1" s="1"/>
  <c r="C81" i="1"/>
  <c r="D81" i="1"/>
  <c r="E81" i="1" a="1"/>
  <c r="E81" i="1"/>
  <c r="F81" i="1"/>
  <c r="G81" i="1"/>
  <c r="H81" i="1"/>
  <c r="I81" i="1"/>
  <c r="J81" i="1" a="1"/>
  <c r="J81" i="1" s="1"/>
  <c r="C82" i="1"/>
  <c r="D82" i="1"/>
  <c r="E82" i="1" a="1"/>
  <c r="E82" i="1"/>
  <c r="F82" i="1"/>
  <c r="G82" i="1"/>
  <c r="H82" i="1"/>
  <c r="I82" i="1"/>
  <c r="B83" i="1" a="1"/>
  <c r="B83" i="1" s="1"/>
  <c r="C83" i="1"/>
  <c r="D83" i="1"/>
  <c r="E83" i="1" a="1"/>
  <c r="E83" i="1" s="1"/>
  <c r="F83" i="1"/>
  <c r="G83" i="1"/>
  <c r="H83" i="1"/>
  <c r="J83" i="1" s="1" a="1"/>
  <c r="J83" i="1" s="1"/>
  <c r="I83" i="1"/>
  <c r="B84" i="1"/>
  <c r="C84" i="1"/>
  <c r="D84" i="1"/>
  <c r="E84" i="1" a="1"/>
  <c r="E84" i="1" s="1"/>
  <c r="F84" i="1"/>
  <c r="G84" i="1"/>
  <c r="H84" i="1"/>
  <c r="B84" i="1" s="1" a="1"/>
  <c r="I84" i="1"/>
  <c r="J84" i="1" a="1"/>
  <c r="J84" i="1" s="1"/>
  <c r="C85" i="1"/>
  <c r="D85" i="1"/>
  <c r="E85" i="1" a="1"/>
  <c r="E85" i="1"/>
  <c r="F85" i="1"/>
  <c r="G85" i="1"/>
  <c r="H85" i="1"/>
  <c r="I85" i="1"/>
  <c r="B86" i="1" a="1"/>
  <c r="B86" i="1" s="1"/>
  <c r="C86" i="1"/>
  <c r="D86" i="1"/>
  <c r="E86" i="1" a="1"/>
  <c r="E86" i="1"/>
  <c r="F86" i="1"/>
  <c r="G86" i="1"/>
  <c r="H86" i="1"/>
  <c r="I86" i="1"/>
  <c r="J86" i="1" a="1"/>
  <c r="J86" i="1" s="1"/>
  <c r="B87" i="1"/>
  <c r="C87" i="1"/>
  <c r="D87" i="1"/>
  <c r="E87" i="1" a="1"/>
  <c r="E87" i="1" s="1"/>
  <c r="F87" i="1"/>
  <c r="G87" i="1"/>
  <c r="H87" i="1"/>
  <c r="B87" i="1" s="1" a="1"/>
  <c r="I87" i="1"/>
  <c r="C88" i="1"/>
  <c r="D88" i="1"/>
  <c r="E88" i="1" a="1"/>
  <c r="E88" i="1" s="1"/>
  <c r="F88" i="1"/>
  <c r="G88" i="1"/>
  <c r="H88" i="1"/>
  <c r="I88" i="1"/>
  <c r="C89" i="1"/>
  <c r="D89" i="1"/>
  <c r="E89" i="1" a="1"/>
  <c r="E89" i="1" s="1"/>
  <c r="F89" i="1"/>
  <c r="G89" i="1"/>
  <c r="H89" i="1"/>
  <c r="B89" i="1" s="1" a="1"/>
  <c r="B89" i="1" s="1"/>
  <c r="I89" i="1"/>
  <c r="J89" i="1" a="1"/>
  <c r="J89" i="1" s="1"/>
  <c r="C90" i="1"/>
  <c r="D90" i="1"/>
  <c r="E90" i="1" a="1"/>
  <c r="E90" i="1" s="1"/>
  <c r="F90" i="1"/>
  <c r="G90" i="1"/>
  <c r="H90" i="1"/>
  <c r="I90" i="1"/>
  <c r="B91" i="1"/>
  <c r="C91" i="1"/>
  <c r="D91" i="1"/>
  <c r="E91" i="1" a="1"/>
  <c r="E91" i="1" s="1"/>
  <c r="F91" i="1"/>
  <c r="G91" i="1"/>
  <c r="H91" i="1"/>
  <c r="B91" i="1" s="1" a="1"/>
  <c r="I91" i="1"/>
  <c r="B92" i="1"/>
  <c r="C92" i="1"/>
  <c r="D92" i="1"/>
  <c r="E92" i="1" a="1"/>
  <c r="E92" i="1" s="1"/>
  <c r="F92" i="1"/>
  <c r="G92" i="1"/>
  <c r="H92" i="1"/>
  <c r="B92" i="1" s="1" a="1"/>
  <c r="I92" i="1"/>
  <c r="J92" i="1" a="1"/>
  <c r="J92" i="1" s="1"/>
  <c r="B93" i="1"/>
  <c r="C93" i="1"/>
  <c r="D93" i="1"/>
  <c r="E93" i="1" a="1"/>
  <c r="E93" i="1" s="1"/>
  <c r="F93" i="1"/>
  <c r="G93" i="1"/>
  <c r="H93" i="1"/>
  <c r="B93" i="1" s="1" a="1"/>
  <c r="I93" i="1"/>
  <c r="C94" i="1"/>
  <c r="D94" i="1"/>
  <c r="E94" i="1" a="1"/>
  <c r="E94" i="1" s="1"/>
  <c r="F94" i="1"/>
  <c r="G94" i="1"/>
  <c r="H94" i="1"/>
  <c r="I94" i="1"/>
  <c r="C95" i="1"/>
  <c r="D95" i="1"/>
  <c r="E95" i="1" a="1"/>
  <c r="E95" i="1" s="1"/>
  <c r="F95" i="1"/>
  <c r="G95" i="1"/>
  <c r="H95" i="1"/>
  <c r="B95" i="1" s="1" a="1"/>
  <c r="B95" i="1" s="1"/>
  <c r="I95" i="1"/>
  <c r="J95" i="1" a="1"/>
  <c r="J95" i="1" s="1"/>
  <c r="C96" i="1"/>
  <c r="D96" i="1"/>
  <c r="E96" i="1" a="1"/>
  <c r="E96" i="1" s="1"/>
  <c r="F96" i="1"/>
  <c r="G96" i="1"/>
  <c r="H96" i="1"/>
  <c r="I96" i="1"/>
  <c r="C97" i="1"/>
  <c r="D97" i="1"/>
  <c r="E97" i="1" a="1"/>
  <c r="E97" i="1" s="1"/>
  <c r="F97" i="1"/>
  <c r="G97" i="1"/>
  <c r="H97" i="1"/>
  <c r="I97" i="1"/>
  <c r="B98" i="1"/>
  <c r="C98" i="1"/>
  <c r="D98" i="1"/>
  <c r="E98" i="1" a="1"/>
  <c r="E98" i="1" s="1"/>
  <c r="F98" i="1"/>
  <c r="G98" i="1"/>
  <c r="H98" i="1"/>
  <c r="B98" i="1" s="1" a="1"/>
  <c r="I98" i="1"/>
  <c r="J98" i="1" a="1"/>
  <c r="J98" i="1" s="1"/>
  <c r="B99" i="1"/>
  <c r="C99" i="1"/>
  <c r="D99" i="1"/>
  <c r="E99" i="1" a="1"/>
  <c r="E99" i="1" s="1"/>
  <c r="F99" i="1"/>
  <c r="G99" i="1"/>
  <c r="H99" i="1"/>
  <c r="B99" i="1" s="1" a="1"/>
  <c r="I99" i="1"/>
  <c r="C100" i="1"/>
  <c r="D100" i="1"/>
  <c r="E100" i="1" a="1"/>
  <c r="E100" i="1" s="1"/>
  <c r="F100" i="1"/>
  <c r="G100" i="1"/>
  <c r="H100" i="1"/>
  <c r="I100" i="1"/>
  <c r="C101" i="1"/>
  <c r="D101" i="1"/>
  <c r="E101" i="1" a="1"/>
  <c r="E101" i="1" s="1"/>
  <c r="F101" i="1"/>
  <c r="G101" i="1"/>
  <c r="H101" i="1"/>
  <c r="B101" i="1" s="1" a="1"/>
  <c r="B101" i="1" s="1"/>
  <c r="I101" i="1"/>
  <c r="J101" i="1" a="1"/>
  <c r="J101" i="1" s="1"/>
  <c r="C102" i="1"/>
  <c r="D102" i="1"/>
  <c r="E102" i="1" a="1"/>
  <c r="E102" i="1" s="1"/>
  <c r="F102" i="1"/>
  <c r="G102" i="1"/>
  <c r="H102" i="1"/>
  <c r="I102" i="1"/>
  <c r="C103" i="1"/>
  <c r="D103" i="1"/>
  <c r="E103" i="1" a="1"/>
  <c r="E103" i="1" s="1"/>
  <c r="F103" i="1"/>
  <c r="G103" i="1"/>
  <c r="H103" i="1"/>
  <c r="B103" i="1" s="1" a="1"/>
  <c r="B103" i="1" s="1"/>
  <c r="I103" i="1"/>
  <c r="B104" i="1"/>
  <c r="C104" i="1"/>
  <c r="D104" i="1"/>
  <c r="E104" i="1" a="1"/>
  <c r="E104" i="1" s="1"/>
  <c r="F104" i="1"/>
  <c r="G104" i="1"/>
  <c r="H104" i="1"/>
  <c r="B104" i="1" s="1" a="1"/>
  <c r="I104" i="1"/>
  <c r="J104" i="1" a="1"/>
  <c r="J104" i="1" s="1"/>
  <c r="B105" i="1"/>
  <c r="C105" i="1"/>
  <c r="D105" i="1"/>
  <c r="E105" i="1" a="1"/>
  <c r="E105" i="1" s="1"/>
  <c r="F105" i="1"/>
  <c r="G105" i="1"/>
  <c r="H105" i="1"/>
  <c r="B105" i="1" s="1" a="1"/>
  <c r="I105" i="1"/>
  <c r="C106" i="1"/>
  <c r="D106" i="1"/>
  <c r="E106" i="1" a="1"/>
  <c r="E106" i="1" s="1"/>
  <c r="F106" i="1"/>
  <c r="G106" i="1"/>
  <c r="H106" i="1"/>
  <c r="I106" i="1"/>
  <c r="C107" i="1"/>
  <c r="D107" i="1"/>
  <c r="E107" i="1" a="1"/>
  <c r="E107" i="1" s="1"/>
  <c r="F107" i="1"/>
  <c r="G107" i="1"/>
  <c r="H107" i="1"/>
  <c r="B107" i="1" s="1" a="1"/>
  <c r="B107" i="1" s="1"/>
  <c r="I107" i="1"/>
  <c r="J107" i="1" a="1"/>
  <c r="J107" i="1"/>
  <c r="C108" i="1"/>
  <c r="D108" i="1"/>
  <c r="E108" i="1" a="1"/>
  <c r="E108" i="1" s="1"/>
  <c r="F108" i="1"/>
  <c r="G108" i="1"/>
  <c r="H108" i="1"/>
  <c r="I108" i="1"/>
  <c r="B109" i="1"/>
  <c r="C109" i="1"/>
  <c r="D109" i="1"/>
  <c r="E109" i="1" a="1"/>
  <c r="E109" i="1" s="1"/>
  <c r="F109" i="1"/>
  <c r="G109" i="1"/>
  <c r="H109" i="1"/>
  <c r="B109" i="1" s="1" a="1"/>
  <c r="I109" i="1"/>
  <c r="J109" i="1" a="1"/>
  <c r="J109" i="1" s="1"/>
  <c r="B110" i="1"/>
  <c r="C110" i="1"/>
  <c r="D110" i="1"/>
  <c r="E110" i="1" a="1"/>
  <c r="E110" i="1" s="1"/>
  <c r="F110" i="1"/>
  <c r="G110" i="1"/>
  <c r="H110" i="1"/>
  <c r="B110" i="1" s="1" a="1"/>
  <c r="I110" i="1"/>
  <c r="J110" i="1" a="1"/>
  <c r="J110" i="1" s="1"/>
  <c r="B111" i="1"/>
  <c r="C111" i="1"/>
  <c r="D111" i="1"/>
  <c r="E111" i="1" a="1"/>
  <c r="E111" i="1" s="1"/>
  <c r="F111" i="1"/>
  <c r="G111" i="1"/>
  <c r="H111" i="1"/>
  <c r="B111" i="1" s="1" a="1"/>
  <c r="I111" i="1"/>
  <c r="C112" i="1"/>
  <c r="D112" i="1"/>
  <c r="E112" i="1" a="1"/>
  <c r="E112" i="1" s="1"/>
  <c r="F112" i="1"/>
  <c r="G112" i="1"/>
  <c r="H112" i="1"/>
  <c r="I112" i="1"/>
  <c r="C113" i="1"/>
  <c r="D113" i="1"/>
  <c r="E113" i="1" a="1"/>
  <c r="E113" i="1" s="1"/>
  <c r="F113" i="1"/>
  <c r="G113" i="1"/>
  <c r="H113" i="1"/>
  <c r="B113" i="1" s="1" a="1"/>
  <c r="B113" i="1" s="1"/>
  <c r="I113" i="1"/>
  <c r="J113" i="1" a="1"/>
  <c r="J113" i="1"/>
  <c r="C114" i="1"/>
  <c r="D114" i="1"/>
  <c r="E114" i="1" a="1"/>
  <c r="E114" i="1" s="1"/>
  <c r="F114" i="1"/>
  <c r="G114" i="1"/>
  <c r="H114" i="1"/>
  <c r="I114" i="1"/>
  <c r="B115" i="1"/>
  <c r="C115" i="1"/>
  <c r="D115" i="1"/>
  <c r="E115" i="1" a="1"/>
  <c r="E115" i="1" s="1"/>
  <c r="F115" i="1"/>
  <c r="G115" i="1"/>
  <c r="H115" i="1"/>
  <c r="B115" i="1" s="1" a="1"/>
  <c r="I115" i="1"/>
  <c r="J115" i="1" a="1"/>
  <c r="J115" i="1" s="1"/>
  <c r="B116" i="1"/>
  <c r="C116" i="1"/>
  <c r="D116" i="1"/>
  <c r="E116" i="1" a="1"/>
  <c r="E116" i="1" s="1"/>
  <c r="F116" i="1"/>
  <c r="G116" i="1"/>
  <c r="H116" i="1"/>
  <c r="B116" i="1" s="1" a="1"/>
  <c r="I116" i="1"/>
  <c r="J116" i="1" a="1"/>
  <c r="J116" i="1" s="1"/>
  <c r="B117" i="1"/>
  <c r="C117" i="1"/>
  <c r="D117" i="1"/>
  <c r="E117" i="1" a="1"/>
  <c r="E117" i="1" s="1"/>
  <c r="F117" i="1"/>
  <c r="G117" i="1"/>
  <c r="H117" i="1"/>
  <c r="B117" i="1" s="1" a="1"/>
  <c r="I117" i="1"/>
  <c r="C118" i="1"/>
  <c r="D118" i="1"/>
  <c r="E118" i="1" a="1"/>
  <c r="E118" i="1" s="1"/>
  <c r="F118" i="1"/>
  <c r="G118" i="1"/>
  <c r="H118" i="1"/>
  <c r="I118" i="1"/>
  <c r="C119" i="1"/>
  <c r="D119" i="1"/>
  <c r="E119" i="1" a="1"/>
  <c r="E119" i="1" s="1"/>
  <c r="F119" i="1"/>
  <c r="G119" i="1"/>
  <c r="H119" i="1"/>
  <c r="B119" i="1" s="1" a="1"/>
  <c r="B119" i="1" s="1"/>
  <c r="I119" i="1"/>
  <c r="J119" i="1" a="1"/>
  <c r="J119" i="1" s="1"/>
  <c r="C120" i="1"/>
  <c r="D120" i="1"/>
  <c r="E120" i="1" a="1"/>
  <c r="E120" i="1" s="1"/>
  <c r="F120" i="1"/>
  <c r="G120" i="1"/>
  <c r="H120" i="1"/>
  <c r="I120" i="1"/>
  <c r="C121" i="1"/>
  <c r="D121" i="1"/>
  <c r="E121" i="1" a="1"/>
  <c r="E121" i="1" s="1"/>
  <c r="F121" i="1"/>
  <c r="G121" i="1"/>
  <c r="H121" i="1"/>
  <c r="B121" i="1" s="1" a="1"/>
  <c r="B121" i="1" s="1"/>
  <c r="I121" i="1"/>
  <c r="B122" i="1"/>
  <c r="C122" i="1"/>
  <c r="D122" i="1"/>
  <c r="E122" i="1" a="1"/>
  <c r="E122" i="1" s="1"/>
  <c r="F122" i="1"/>
  <c r="G122" i="1"/>
  <c r="H122" i="1"/>
  <c r="B122" i="1" s="1" a="1"/>
  <c r="I122" i="1"/>
  <c r="J122" i="1" a="1"/>
  <c r="J122" i="1" s="1"/>
  <c r="B123" i="1"/>
  <c r="C123" i="1"/>
  <c r="D123" i="1"/>
  <c r="E123" i="1" a="1"/>
  <c r="E123" i="1" s="1"/>
  <c r="F123" i="1"/>
  <c r="G123" i="1"/>
  <c r="H123" i="1"/>
  <c r="B123" i="1" s="1" a="1"/>
  <c r="I123" i="1"/>
  <c r="C124" i="1"/>
  <c r="D124" i="1"/>
  <c r="E124" i="1" a="1"/>
  <c r="E124" i="1" s="1"/>
  <c r="F124" i="1"/>
  <c r="G124" i="1"/>
  <c r="H124" i="1"/>
  <c r="I124" i="1"/>
  <c r="B125" i="1"/>
  <c r="C125" i="1"/>
  <c r="D125" i="1"/>
  <c r="E125" i="1" a="1"/>
  <c r="E125" i="1" s="1"/>
  <c r="F125" i="1"/>
  <c r="G125" i="1"/>
  <c r="H125" i="1"/>
  <c r="B125" i="1" s="1" a="1"/>
  <c r="I125" i="1"/>
  <c r="J125" i="1" a="1"/>
  <c r="J125" i="1" s="1"/>
  <c r="C126" i="1"/>
  <c r="D126" i="1"/>
  <c r="E126" i="1" a="1"/>
  <c r="E126" i="1" s="1"/>
  <c r="F126" i="1"/>
  <c r="G126" i="1"/>
  <c r="H126" i="1"/>
  <c r="B126" i="1" s="1" a="1"/>
  <c r="B126" i="1" s="1"/>
  <c r="I126" i="1"/>
  <c r="J126" i="1" a="1"/>
  <c r="J126" i="1"/>
  <c r="C127" i="1"/>
  <c r="D127" i="1"/>
  <c r="E127" i="1" a="1"/>
  <c r="E127" i="1" s="1"/>
  <c r="F127" i="1"/>
  <c r="G127" i="1"/>
  <c r="H127" i="1"/>
  <c r="B127" i="1" s="1" a="1"/>
  <c r="B127" i="1" s="1"/>
  <c r="I127" i="1"/>
  <c r="J127" i="1" a="1"/>
  <c r="J127" i="1" s="1"/>
  <c r="C128" i="1"/>
  <c r="D128" i="1"/>
  <c r="E128" i="1" a="1"/>
  <c r="E128" i="1" s="1"/>
  <c r="F128" i="1"/>
  <c r="G128" i="1"/>
  <c r="H128" i="1"/>
  <c r="I128" i="1"/>
  <c r="B129" i="1" a="1"/>
  <c r="B129" i="1"/>
  <c r="C129" i="1"/>
  <c r="D129" i="1"/>
  <c r="E129" i="1" a="1"/>
  <c r="E129" i="1" s="1"/>
  <c r="F129" i="1"/>
  <c r="G129" i="1"/>
  <c r="H129" i="1"/>
  <c r="I129" i="1"/>
  <c r="J129" i="1" a="1"/>
  <c r="J129" i="1" s="1"/>
  <c r="B130" i="1" a="1"/>
  <c r="B130" i="1" s="1"/>
  <c r="C130" i="1"/>
  <c r="D130" i="1"/>
  <c r="E130" i="1" a="1"/>
  <c r="E130" i="1" s="1"/>
  <c r="F130" i="1"/>
  <c r="G130" i="1"/>
  <c r="H130" i="1"/>
  <c r="I130" i="1"/>
  <c r="J130" i="1" a="1"/>
  <c r="J130" i="1" s="1"/>
  <c r="C131" i="1"/>
  <c r="D131" i="1"/>
  <c r="E131" i="1" a="1"/>
  <c r="E131" i="1" s="1"/>
  <c r="F131" i="1"/>
  <c r="G131" i="1"/>
  <c r="H131" i="1"/>
  <c r="B131" i="1" s="1" a="1"/>
  <c r="B131" i="1" s="1"/>
  <c r="I131" i="1"/>
  <c r="B132" i="1" a="1"/>
  <c r="B132" i="1" s="1"/>
  <c r="C132" i="1"/>
  <c r="D132" i="1"/>
  <c r="E132" i="1" a="1"/>
  <c r="E132" i="1" s="1"/>
  <c r="F132" i="1"/>
  <c r="G132" i="1"/>
  <c r="H132" i="1"/>
  <c r="I132" i="1"/>
  <c r="J132" i="1" a="1"/>
  <c r="J132" i="1"/>
  <c r="B133" i="1" a="1"/>
  <c r="B133" i="1" s="1"/>
  <c r="C133" i="1"/>
  <c r="D133" i="1"/>
  <c r="E133" i="1" a="1"/>
  <c r="E133" i="1" s="1"/>
  <c r="F133" i="1"/>
  <c r="G133" i="1"/>
  <c r="H133" i="1"/>
  <c r="I133" i="1"/>
  <c r="J133" i="1" a="1"/>
  <c r="J133" i="1" s="1"/>
  <c r="B134" i="1" a="1"/>
  <c r="B134" i="1"/>
  <c r="C134" i="1"/>
  <c r="D134" i="1"/>
  <c r="E134" i="1" a="1"/>
  <c r="E134" i="1" s="1"/>
  <c r="F134" i="1"/>
  <c r="G134" i="1"/>
  <c r="H134" i="1"/>
  <c r="J134" i="1" s="1" a="1"/>
  <c r="I134" i="1"/>
  <c r="J134" i="1"/>
  <c r="B135" i="1" a="1"/>
  <c r="B135" i="1" s="1"/>
  <c r="C135" i="1"/>
  <c r="D135" i="1"/>
  <c r="E135" i="1" a="1"/>
  <c r="E135" i="1" s="1"/>
  <c r="F135" i="1"/>
  <c r="G135" i="1"/>
  <c r="H135" i="1"/>
  <c r="J135" i="1" s="1" a="1"/>
  <c r="J135" i="1" s="1"/>
  <c r="I135" i="1"/>
  <c r="C136" i="1"/>
  <c r="D136" i="1"/>
  <c r="E136" i="1" a="1"/>
  <c r="E136" i="1" s="1"/>
  <c r="F136" i="1"/>
  <c r="G136" i="1"/>
  <c r="H136" i="1"/>
  <c r="I136" i="1"/>
  <c r="C137" i="1"/>
  <c r="D137" i="1"/>
  <c r="E137" i="1" a="1"/>
  <c r="E137" i="1" s="1"/>
  <c r="F137" i="1"/>
  <c r="G137" i="1"/>
  <c r="H137" i="1"/>
  <c r="B137" i="1" s="1" a="1"/>
  <c r="B137" i="1" s="1"/>
  <c r="I137" i="1"/>
  <c r="C138" i="1"/>
  <c r="D138" i="1"/>
  <c r="E138" i="1" a="1"/>
  <c r="E138" i="1" s="1"/>
  <c r="F138" i="1"/>
  <c r="G138" i="1"/>
  <c r="H138" i="1"/>
  <c r="B138" i="1" s="1" a="1"/>
  <c r="B138" i="1" s="1"/>
  <c r="I138" i="1"/>
  <c r="C139" i="1"/>
  <c r="D139" i="1"/>
  <c r="E139" i="1" a="1"/>
  <c r="E139" i="1" s="1"/>
  <c r="F139" i="1"/>
  <c r="G139" i="1"/>
  <c r="H139" i="1"/>
  <c r="B139" i="1" s="1" a="1"/>
  <c r="B139" i="1" s="1"/>
  <c r="I139" i="1"/>
  <c r="J139" i="1" a="1"/>
  <c r="J139" i="1"/>
  <c r="C140" i="1"/>
  <c r="D140" i="1"/>
  <c r="E140" i="1" a="1"/>
  <c r="E140" i="1" s="1"/>
  <c r="F140" i="1"/>
  <c r="G140" i="1"/>
  <c r="H140" i="1"/>
  <c r="I140" i="1"/>
  <c r="B141" i="1" a="1"/>
  <c r="B141" i="1"/>
  <c r="C141" i="1"/>
  <c r="D141" i="1"/>
  <c r="E141" i="1" a="1"/>
  <c r="E141" i="1" s="1"/>
  <c r="F141" i="1"/>
  <c r="G141" i="1"/>
  <c r="H141" i="1"/>
  <c r="I141" i="1"/>
  <c r="J141" i="1" a="1"/>
  <c r="J141" i="1" s="1"/>
  <c r="B142" i="1" a="1"/>
  <c r="B142" i="1" s="1"/>
  <c r="C142" i="1"/>
  <c r="D142" i="1"/>
  <c r="E142" i="1" a="1"/>
  <c r="E142" i="1" s="1"/>
  <c r="F142" i="1"/>
  <c r="G142" i="1"/>
  <c r="H142" i="1"/>
  <c r="I142" i="1"/>
  <c r="J142" i="1" a="1"/>
  <c r="J142" i="1"/>
  <c r="C143" i="1"/>
  <c r="D143" i="1"/>
  <c r="E143" i="1" a="1"/>
  <c r="E143" i="1" s="1"/>
  <c r="F143" i="1"/>
  <c r="G143" i="1"/>
  <c r="H143" i="1"/>
  <c r="B143" i="1" s="1" a="1"/>
  <c r="B143" i="1" s="1"/>
  <c r="I143" i="1"/>
  <c r="B144" i="1" a="1"/>
  <c r="B144" i="1" s="1"/>
  <c r="C144" i="1"/>
  <c r="D144" i="1"/>
  <c r="E144" i="1" a="1"/>
  <c r="E144" i="1" s="1"/>
  <c r="F144" i="1"/>
  <c r="G144" i="1"/>
  <c r="H144" i="1"/>
  <c r="I144" i="1"/>
  <c r="J144" i="1" a="1"/>
  <c r="J144" i="1"/>
  <c r="B145" i="1" a="1"/>
  <c r="B145" i="1"/>
  <c r="C145" i="1"/>
  <c r="D145" i="1"/>
  <c r="E145" i="1" a="1"/>
  <c r="E145" i="1" s="1"/>
  <c r="F145" i="1"/>
  <c r="G145" i="1"/>
  <c r="H145" i="1"/>
  <c r="I145" i="1"/>
  <c r="J145" i="1" a="1"/>
  <c r="J145" i="1" s="1"/>
  <c r="B146" i="1" a="1"/>
  <c r="B146" i="1"/>
  <c r="C146" i="1"/>
  <c r="D146" i="1"/>
  <c r="E146" i="1" a="1"/>
  <c r="E146" i="1" s="1"/>
  <c r="F146" i="1"/>
  <c r="G146" i="1"/>
  <c r="H146" i="1"/>
  <c r="J146" i="1" s="1" a="1"/>
  <c r="I146" i="1"/>
  <c r="J146" i="1"/>
  <c r="B147" i="1" a="1"/>
  <c r="B147" i="1" s="1"/>
  <c r="C147" i="1"/>
  <c r="D147" i="1"/>
  <c r="E147" i="1" a="1"/>
  <c r="E147" i="1" s="1"/>
  <c r="F147" i="1"/>
  <c r="G147" i="1"/>
  <c r="H147" i="1"/>
  <c r="J147" i="1" s="1" a="1"/>
  <c r="J147" i="1" s="1"/>
  <c r="I147" i="1"/>
  <c r="C148" i="1"/>
  <c r="D148" i="1"/>
  <c r="E148" i="1" a="1"/>
  <c r="E148" i="1" s="1"/>
  <c r="F148" i="1"/>
  <c r="G148" i="1"/>
  <c r="H148" i="1"/>
  <c r="I148" i="1"/>
  <c r="C149" i="1"/>
  <c r="D149" i="1"/>
  <c r="E149" i="1" a="1"/>
  <c r="E149" i="1" s="1"/>
  <c r="F149" i="1"/>
  <c r="G149" i="1"/>
  <c r="H149" i="1"/>
  <c r="B149" i="1" s="1" a="1"/>
  <c r="B149" i="1" s="1"/>
  <c r="I149" i="1"/>
  <c r="C150" i="1"/>
  <c r="D150" i="1"/>
  <c r="E150" i="1" a="1"/>
  <c r="E150" i="1"/>
  <c r="F150" i="1"/>
  <c r="G150" i="1"/>
  <c r="H150" i="1"/>
  <c r="B150" i="1" s="1" a="1"/>
  <c r="B150" i="1" s="1"/>
  <c r="I150" i="1"/>
  <c r="C151" i="1"/>
  <c r="D151" i="1"/>
  <c r="E151" i="1" a="1"/>
  <c r="E151" i="1"/>
  <c r="F151" i="1"/>
  <c r="G151" i="1"/>
  <c r="H151" i="1"/>
  <c r="B151" i="1" s="1" a="1"/>
  <c r="B151" i="1" s="1"/>
  <c r="I151" i="1"/>
  <c r="J151" i="1" a="1"/>
  <c r="J151" i="1" s="1"/>
  <c r="C152" i="1"/>
  <c r="D152" i="1"/>
  <c r="E152" i="1" a="1"/>
  <c r="E152" i="1"/>
  <c r="F152" i="1"/>
  <c r="G152" i="1"/>
  <c r="H152" i="1"/>
  <c r="I152" i="1"/>
  <c r="C153" i="1"/>
  <c r="D153" i="1"/>
  <c r="E153" i="1" a="1"/>
  <c r="E153" i="1" s="1"/>
  <c r="F153" i="1"/>
  <c r="G153" i="1"/>
  <c r="H153" i="1"/>
  <c r="B153" i="1" s="1" a="1"/>
  <c r="B153" i="1" s="1"/>
  <c r="I153" i="1"/>
  <c r="C154" i="1"/>
  <c r="D154" i="1"/>
  <c r="E154" i="1" a="1"/>
  <c r="E154" i="1"/>
  <c r="F154" i="1"/>
  <c r="G154" i="1"/>
  <c r="H154" i="1"/>
  <c r="B154" i="1" s="1" a="1"/>
  <c r="B154" i="1" s="1"/>
  <c r="I154" i="1"/>
  <c r="C155" i="1"/>
  <c r="D155" i="1"/>
  <c r="E155" i="1" a="1"/>
  <c r="E155" i="1"/>
  <c r="F155" i="1"/>
  <c r="G155" i="1"/>
  <c r="H155" i="1"/>
  <c r="B155" i="1" s="1" a="1"/>
  <c r="B155" i="1" s="1"/>
  <c r="I155" i="1"/>
  <c r="J155" i="1" a="1"/>
  <c r="J155" i="1" s="1"/>
  <c r="C156" i="1"/>
  <c r="D156" i="1"/>
  <c r="E156" i="1" a="1"/>
  <c r="E156" i="1"/>
  <c r="F156" i="1"/>
  <c r="G156" i="1"/>
  <c r="H156" i="1"/>
  <c r="I156" i="1"/>
  <c r="C157" i="1"/>
  <c r="D157" i="1"/>
  <c r="E157" i="1" a="1"/>
  <c r="E157" i="1" s="1"/>
  <c r="F157" i="1"/>
  <c r="G157" i="1"/>
  <c r="H157" i="1"/>
  <c r="B157" i="1" s="1" a="1"/>
  <c r="B157" i="1" s="1"/>
  <c r="I157" i="1"/>
  <c r="C158" i="1"/>
  <c r="D158" i="1"/>
  <c r="E158" i="1" a="1"/>
  <c r="E158" i="1"/>
  <c r="F158" i="1"/>
  <c r="G158" i="1"/>
  <c r="H158" i="1"/>
  <c r="B158" i="1" s="1" a="1"/>
  <c r="B158" i="1" s="1"/>
  <c r="I158" i="1"/>
  <c r="J158" i="1" a="1"/>
  <c r="J158" i="1" s="1"/>
  <c r="C159" i="1"/>
  <c r="D159" i="1"/>
  <c r="E159" i="1" a="1"/>
  <c r="E159" i="1"/>
  <c r="F159" i="1"/>
  <c r="G159" i="1"/>
  <c r="H159" i="1"/>
  <c r="B159" i="1" s="1" a="1"/>
  <c r="B159" i="1" s="1"/>
  <c r="I159" i="1"/>
  <c r="J159" i="1" a="1"/>
  <c r="J159" i="1" s="1"/>
  <c r="C160" i="1"/>
  <c r="D160" i="1"/>
  <c r="E160" i="1" a="1"/>
  <c r="E160" i="1"/>
  <c r="F160" i="1"/>
  <c r="G160" i="1"/>
  <c r="H160" i="1"/>
  <c r="I160" i="1"/>
  <c r="C161" i="1"/>
  <c r="D161" i="1"/>
  <c r="E161" i="1" a="1"/>
  <c r="E161" i="1" s="1"/>
  <c r="F161" i="1"/>
  <c r="G161" i="1"/>
  <c r="H161" i="1"/>
  <c r="B161" i="1" s="1" a="1"/>
  <c r="B161" i="1" s="1"/>
  <c r="I161" i="1"/>
  <c r="C162" i="1"/>
  <c r="D162" i="1"/>
  <c r="E162" i="1" a="1"/>
  <c r="E162" i="1"/>
  <c r="F162" i="1"/>
  <c r="G162" i="1"/>
  <c r="H162" i="1"/>
  <c r="B162" i="1" s="1" a="1"/>
  <c r="B162" i="1" s="1"/>
  <c r="I162" i="1"/>
  <c r="J162" i="1" a="1"/>
  <c r="J162" i="1" s="1"/>
  <c r="C163" i="1"/>
  <c r="D163" i="1"/>
  <c r="E163" i="1" a="1"/>
  <c r="E163" i="1"/>
  <c r="F163" i="1"/>
  <c r="G163" i="1"/>
  <c r="H163" i="1"/>
  <c r="B163" i="1" s="1" a="1"/>
  <c r="B163" i="1" s="1"/>
  <c r="I163" i="1"/>
  <c r="J163" i="1" a="1"/>
  <c r="J163" i="1" s="1"/>
  <c r="C164" i="1"/>
  <c r="D164" i="1"/>
  <c r="E164" i="1" a="1"/>
  <c r="E164" i="1"/>
  <c r="F164" i="1"/>
  <c r="G164" i="1"/>
  <c r="H164" i="1"/>
  <c r="I164" i="1"/>
  <c r="C165" i="1"/>
  <c r="D165" i="1"/>
  <c r="E165" i="1" a="1"/>
  <c r="E165" i="1" s="1"/>
  <c r="F165" i="1"/>
  <c r="G165" i="1"/>
  <c r="H165" i="1"/>
  <c r="B165" i="1" s="1" a="1"/>
  <c r="B165" i="1" s="1"/>
  <c r="I165" i="1"/>
  <c r="C166" i="1"/>
  <c r="D166" i="1"/>
  <c r="E166" i="1" a="1"/>
  <c r="E166" i="1"/>
  <c r="F166" i="1"/>
  <c r="G166" i="1"/>
  <c r="H166" i="1"/>
  <c r="B166" i="1" s="1" a="1"/>
  <c r="B166" i="1" s="1"/>
  <c r="I166" i="1"/>
  <c r="J166" i="1" a="1"/>
  <c r="J166" i="1" s="1"/>
  <c r="C167" i="1"/>
  <c r="D167" i="1"/>
  <c r="E167" i="1" a="1"/>
  <c r="E167" i="1"/>
  <c r="F167" i="1"/>
  <c r="G167" i="1"/>
  <c r="H167" i="1"/>
  <c r="B167" i="1" s="1" a="1"/>
  <c r="B167" i="1" s="1"/>
  <c r="I167" i="1"/>
  <c r="J167" i="1" a="1"/>
  <c r="J167" i="1" s="1"/>
  <c r="C168" i="1"/>
  <c r="D168" i="1"/>
  <c r="E168" i="1" a="1"/>
  <c r="E168" i="1"/>
  <c r="F168" i="1"/>
  <c r="G168" i="1"/>
  <c r="H168" i="1"/>
  <c r="I168" i="1"/>
  <c r="C169" i="1"/>
  <c r="D169" i="1"/>
  <c r="E169" i="1" a="1"/>
  <c r="E169" i="1" s="1"/>
  <c r="F169" i="1"/>
  <c r="G169" i="1"/>
  <c r="H169" i="1"/>
  <c r="B169" i="1" s="1" a="1"/>
  <c r="B169" i="1" s="1"/>
  <c r="I169" i="1"/>
  <c r="C170" i="1"/>
  <c r="D170" i="1"/>
  <c r="E170" i="1" a="1"/>
  <c r="E170" i="1"/>
  <c r="F170" i="1"/>
  <c r="G170" i="1"/>
  <c r="H170" i="1"/>
  <c r="B170" i="1" s="1" a="1"/>
  <c r="B170" i="1" s="1"/>
  <c r="I170" i="1"/>
  <c r="J170" i="1" a="1"/>
  <c r="J170" i="1" s="1"/>
  <c r="C171" i="1"/>
  <c r="D171" i="1"/>
  <c r="E171" i="1" a="1"/>
  <c r="E171" i="1"/>
  <c r="F171" i="1"/>
  <c r="G171" i="1"/>
  <c r="H171" i="1"/>
  <c r="B171" i="1" s="1" a="1"/>
  <c r="B171" i="1" s="1"/>
  <c r="I171" i="1"/>
  <c r="J171" i="1" a="1"/>
  <c r="J171" i="1" s="1"/>
  <c r="C172" i="1"/>
  <c r="D172" i="1"/>
  <c r="E172" i="1" a="1"/>
  <c r="E172" i="1"/>
  <c r="F172" i="1"/>
  <c r="G172" i="1"/>
  <c r="H172" i="1"/>
  <c r="I172" i="1"/>
  <c r="C173" i="1"/>
  <c r="D173" i="1"/>
  <c r="E173" i="1" a="1"/>
  <c r="E173" i="1" s="1"/>
  <c r="F173" i="1"/>
  <c r="G173" i="1"/>
  <c r="H173" i="1"/>
  <c r="B173" i="1" s="1" a="1"/>
  <c r="B173" i="1" s="1"/>
  <c r="I173" i="1"/>
  <c r="C174" i="1"/>
  <c r="D174" i="1"/>
  <c r="E174" i="1" a="1"/>
  <c r="E174" i="1"/>
  <c r="F174" i="1"/>
  <c r="G174" i="1"/>
  <c r="H174" i="1"/>
  <c r="B174" i="1" s="1" a="1"/>
  <c r="B174" i="1" s="1"/>
  <c r="I174" i="1"/>
  <c r="J174" i="1" a="1"/>
  <c r="J174" i="1" s="1"/>
  <c r="C175" i="1"/>
  <c r="D175" i="1"/>
  <c r="E175" i="1" a="1"/>
  <c r="E175" i="1"/>
  <c r="F175" i="1"/>
  <c r="G175" i="1"/>
  <c r="H175" i="1"/>
  <c r="B175" i="1" s="1" a="1"/>
  <c r="B175" i="1" s="1"/>
  <c r="I175" i="1"/>
  <c r="J175" i="1" a="1"/>
  <c r="J175" i="1" s="1"/>
  <c r="C176" i="1"/>
  <c r="D176" i="1"/>
  <c r="E176" i="1" a="1"/>
  <c r="E176" i="1" s="1"/>
  <c r="F176" i="1"/>
  <c r="G176" i="1"/>
  <c r="H176" i="1"/>
  <c r="I176" i="1"/>
  <c r="C177" i="1"/>
  <c r="D177" i="1"/>
  <c r="E177" i="1" a="1"/>
  <c r="E177" i="1" s="1"/>
  <c r="F177" i="1"/>
  <c r="G177" i="1"/>
  <c r="H177" i="1"/>
  <c r="B177" i="1" s="1" a="1"/>
  <c r="B177" i="1" s="1"/>
  <c r="I177" i="1"/>
  <c r="C178" i="1"/>
  <c r="D178" i="1"/>
  <c r="E178" i="1" a="1"/>
  <c r="E178" i="1"/>
  <c r="F178" i="1"/>
  <c r="G178" i="1"/>
  <c r="H178" i="1"/>
  <c r="B178" i="1" s="1" a="1"/>
  <c r="B178" i="1" s="1"/>
  <c r="I178" i="1"/>
  <c r="J178" i="1" a="1"/>
  <c r="J178" i="1" s="1"/>
  <c r="C179" i="1"/>
  <c r="D179" i="1"/>
  <c r="E179" i="1" a="1"/>
  <c r="E179" i="1"/>
  <c r="F179" i="1"/>
  <c r="G179" i="1"/>
  <c r="H179" i="1"/>
  <c r="B179" i="1" s="1" a="1"/>
  <c r="B179" i="1" s="1"/>
  <c r="I179" i="1"/>
  <c r="J179" i="1" a="1"/>
  <c r="J179" i="1" s="1"/>
  <c r="C180" i="1"/>
  <c r="D180" i="1"/>
  <c r="E180" i="1" a="1"/>
  <c r="E180" i="1" s="1"/>
  <c r="F180" i="1"/>
  <c r="G180" i="1"/>
  <c r="H180" i="1"/>
  <c r="I180" i="1"/>
  <c r="C181" i="1"/>
  <c r="D181" i="1"/>
  <c r="E181" i="1" a="1"/>
  <c r="E181" i="1" s="1"/>
  <c r="F181" i="1"/>
  <c r="G181" i="1"/>
  <c r="H181" i="1"/>
  <c r="B181" i="1" s="1" a="1"/>
  <c r="B181" i="1" s="1"/>
  <c r="I181" i="1"/>
  <c r="C182" i="1"/>
  <c r="D182" i="1"/>
  <c r="E182" i="1" a="1"/>
  <c r="E182" i="1"/>
  <c r="F182" i="1"/>
  <c r="G182" i="1"/>
  <c r="H182" i="1"/>
  <c r="B182" i="1" s="1" a="1"/>
  <c r="B182" i="1" s="1"/>
  <c r="I182" i="1"/>
  <c r="J182" i="1" a="1"/>
  <c r="J182" i="1" s="1"/>
  <c r="C183" i="1"/>
  <c r="D183" i="1"/>
  <c r="E183" i="1" a="1"/>
  <c r="E183" i="1"/>
  <c r="F183" i="1"/>
  <c r="G183" i="1"/>
  <c r="H183" i="1"/>
  <c r="B183" i="1" s="1" a="1"/>
  <c r="B183" i="1" s="1"/>
  <c r="I183" i="1"/>
  <c r="J183" i="1" a="1"/>
  <c r="J183" i="1" s="1"/>
  <c r="C184" i="1"/>
  <c r="D184" i="1"/>
  <c r="E184" i="1" a="1"/>
  <c r="E184" i="1" s="1"/>
  <c r="F184" i="1"/>
  <c r="G184" i="1"/>
  <c r="H184" i="1"/>
  <c r="I184" i="1"/>
  <c r="C185" i="1"/>
  <c r="D185" i="1"/>
  <c r="E185" i="1" a="1"/>
  <c r="E185" i="1" s="1"/>
  <c r="F185" i="1"/>
  <c r="G185" i="1"/>
  <c r="H185" i="1"/>
  <c r="B185" i="1" s="1" a="1"/>
  <c r="B185" i="1" s="1"/>
  <c r="I185" i="1"/>
  <c r="C186" i="1"/>
  <c r="D186" i="1"/>
  <c r="E186" i="1" a="1"/>
  <c r="E186" i="1"/>
  <c r="F186" i="1"/>
  <c r="G186" i="1"/>
  <c r="H186" i="1"/>
  <c r="B186" i="1" s="1" a="1"/>
  <c r="B186" i="1" s="1"/>
  <c r="I186" i="1"/>
  <c r="J186" i="1" a="1"/>
  <c r="J186" i="1" s="1"/>
  <c r="C187" i="1"/>
  <c r="D187" i="1"/>
  <c r="E187" i="1" a="1"/>
  <c r="E187" i="1"/>
  <c r="F187" i="1"/>
  <c r="G187" i="1"/>
  <c r="H187" i="1"/>
  <c r="B187" i="1" s="1" a="1"/>
  <c r="B187" i="1" s="1"/>
  <c r="I187" i="1"/>
  <c r="J187" i="1" a="1"/>
  <c r="J187" i="1" s="1"/>
  <c r="C188" i="1"/>
  <c r="D188" i="1"/>
  <c r="E188" i="1" a="1"/>
  <c r="E188" i="1" s="1"/>
  <c r="F188" i="1"/>
  <c r="G188" i="1"/>
  <c r="H188" i="1"/>
  <c r="I188" i="1"/>
  <c r="C189" i="1"/>
  <c r="D189" i="1"/>
  <c r="E189" i="1" a="1"/>
  <c r="E189" i="1" s="1"/>
  <c r="F189" i="1"/>
  <c r="G189" i="1"/>
  <c r="H189" i="1"/>
  <c r="B189" i="1" s="1" a="1"/>
  <c r="B189" i="1" s="1"/>
  <c r="I189" i="1"/>
  <c r="C190" i="1"/>
  <c r="D190" i="1"/>
  <c r="E190" i="1" a="1"/>
  <c r="E190" i="1"/>
  <c r="F190" i="1"/>
  <c r="G190" i="1"/>
  <c r="H190" i="1"/>
  <c r="B190" i="1" s="1" a="1"/>
  <c r="B190" i="1" s="1"/>
  <c r="I190" i="1"/>
  <c r="J190" i="1" a="1"/>
  <c r="J190" i="1" s="1"/>
  <c r="C191" i="1"/>
  <c r="D191" i="1"/>
  <c r="E191" i="1" a="1"/>
  <c r="E191" i="1"/>
  <c r="F191" i="1"/>
  <c r="G191" i="1"/>
  <c r="H191" i="1"/>
  <c r="B191" i="1" s="1" a="1"/>
  <c r="B191" i="1" s="1"/>
  <c r="I191" i="1"/>
  <c r="J191" i="1" a="1"/>
  <c r="J191" i="1" s="1"/>
  <c r="C192" i="1"/>
  <c r="D192" i="1"/>
  <c r="E192" i="1" a="1"/>
  <c r="E192" i="1" s="1"/>
  <c r="F192" i="1"/>
  <c r="G192" i="1"/>
  <c r="H192" i="1"/>
  <c r="I192" i="1"/>
  <c r="C193" i="1"/>
  <c r="D193" i="1"/>
  <c r="E193" i="1" a="1"/>
  <c r="E193" i="1" s="1"/>
  <c r="F193" i="1"/>
  <c r="G193" i="1"/>
  <c r="H193" i="1"/>
  <c r="B193" i="1" s="1" a="1"/>
  <c r="B193" i="1" s="1"/>
  <c r="I193" i="1"/>
  <c r="C194" i="1"/>
  <c r="D194" i="1"/>
  <c r="E194" i="1" a="1"/>
  <c r="E194" i="1"/>
  <c r="F194" i="1"/>
  <c r="G194" i="1"/>
  <c r="H194" i="1"/>
  <c r="B194" i="1" s="1" a="1"/>
  <c r="B194" i="1" s="1"/>
  <c r="I194" i="1"/>
  <c r="J194" i="1" a="1"/>
  <c r="J194" i="1" s="1"/>
  <c r="C195" i="1"/>
  <c r="D195" i="1"/>
  <c r="E195" i="1" a="1"/>
  <c r="E195" i="1"/>
  <c r="F195" i="1"/>
  <c r="G195" i="1"/>
  <c r="H195" i="1"/>
  <c r="B195" i="1" s="1" a="1"/>
  <c r="B195" i="1" s="1"/>
  <c r="I195" i="1"/>
  <c r="J195" i="1" a="1"/>
  <c r="J195" i="1" s="1"/>
  <c r="C196" i="1"/>
  <c r="D196" i="1"/>
  <c r="E196" i="1" a="1"/>
  <c r="E196" i="1" s="1"/>
  <c r="F196" i="1"/>
  <c r="G196" i="1"/>
  <c r="H196" i="1"/>
  <c r="I196" i="1"/>
  <c r="C197" i="1"/>
  <c r="D197" i="1"/>
  <c r="E197" i="1" a="1"/>
  <c r="E197" i="1" s="1"/>
  <c r="F197" i="1"/>
  <c r="G197" i="1"/>
  <c r="H197" i="1"/>
  <c r="B197" i="1" s="1" a="1"/>
  <c r="B197" i="1" s="1"/>
  <c r="I197" i="1"/>
  <c r="C198" i="1"/>
  <c r="D198" i="1"/>
  <c r="E198" i="1" a="1"/>
  <c r="E198" i="1"/>
  <c r="F198" i="1"/>
  <c r="G198" i="1"/>
  <c r="H198" i="1"/>
  <c r="B198" i="1" s="1" a="1"/>
  <c r="B198" i="1" s="1"/>
  <c r="I198" i="1"/>
  <c r="J198" i="1" a="1"/>
  <c r="J198" i="1" s="1"/>
  <c r="C199" i="1"/>
  <c r="D199" i="1"/>
  <c r="E199" i="1" a="1"/>
  <c r="E199" i="1"/>
  <c r="F199" i="1"/>
  <c r="G199" i="1"/>
  <c r="H199" i="1"/>
  <c r="B199" i="1" s="1" a="1"/>
  <c r="B199" i="1" s="1"/>
  <c r="I199" i="1"/>
  <c r="J199" i="1" a="1"/>
  <c r="J199" i="1" s="1"/>
  <c r="C200" i="1"/>
  <c r="D200" i="1"/>
  <c r="E200" i="1" a="1"/>
  <c r="E200" i="1" s="1"/>
  <c r="F200" i="1"/>
  <c r="G200" i="1"/>
  <c r="H200" i="1"/>
  <c r="I200" i="1"/>
  <c r="B201" i="1" a="1"/>
  <c r="B201" i="1" s="1"/>
  <c r="C201" i="1"/>
  <c r="D201" i="1"/>
  <c r="E201" i="1" a="1"/>
  <c r="E201" i="1"/>
  <c r="F201" i="1"/>
  <c r="G201" i="1"/>
  <c r="H201" i="1"/>
  <c r="I201" i="1"/>
  <c r="J201" i="1" a="1"/>
  <c r="J201" i="1" s="1"/>
  <c r="C202" i="1"/>
  <c r="D202" i="1"/>
  <c r="E202" i="1" a="1"/>
  <c r="E202" i="1" s="1"/>
  <c r="F202" i="1"/>
  <c r="G202" i="1"/>
  <c r="H202" i="1"/>
  <c r="B202" i="1" s="1" a="1"/>
  <c r="B202" i="1" s="1"/>
  <c r="I202" i="1"/>
  <c r="C203" i="1"/>
  <c r="D203" i="1"/>
  <c r="E203" i="1" a="1"/>
  <c r="E203" i="1" s="1"/>
  <c r="F203" i="1"/>
  <c r="G203" i="1"/>
  <c r="H203" i="1"/>
  <c r="I203" i="1"/>
  <c r="C204" i="1"/>
  <c r="D204" i="1"/>
  <c r="E204" i="1" a="1"/>
  <c r="E204" i="1" s="1"/>
  <c r="F204" i="1"/>
  <c r="G204" i="1"/>
  <c r="H204" i="1"/>
  <c r="I204" i="1"/>
  <c r="C205" i="1"/>
  <c r="D205" i="1"/>
  <c r="E205" i="1" a="1"/>
  <c r="E205" i="1"/>
  <c r="F205" i="1"/>
  <c r="G205" i="1"/>
  <c r="H205" i="1"/>
  <c r="B205" i="1" s="1" a="1"/>
  <c r="B205" i="1" s="1"/>
  <c r="I205" i="1"/>
  <c r="J205" i="1" a="1"/>
  <c r="J205" i="1" s="1"/>
  <c r="C206" i="1"/>
  <c r="D206" i="1"/>
  <c r="E206" i="1" a="1"/>
  <c r="E206" i="1" s="1"/>
  <c r="F206" i="1"/>
  <c r="G206" i="1"/>
  <c r="H206" i="1"/>
  <c r="B206" i="1" s="1" a="1"/>
  <c r="B206" i="1" s="1"/>
  <c r="I206" i="1"/>
  <c r="J206" i="1" a="1"/>
  <c r="J206" i="1" s="1"/>
  <c r="B207" i="1" a="1"/>
  <c r="B207" i="1" s="1"/>
  <c r="C207" i="1"/>
  <c r="D207" i="1"/>
  <c r="E207" i="1" a="1"/>
  <c r="E207" i="1" s="1"/>
  <c r="F207" i="1"/>
  <c r="G207" i="1"/>
  <c r="H207" i="1"/>
  <c r="I207" i="1"/>
  <c r="J207" i="1" a="1"/>
  <c r="J207" i="1" s="1"/>
  <c r="C208" i="1"/>
  <c r="D208" i="1"/>
  <c r="E208" i="1" a="1"/>
  <c r="E208" i="1" s="1"/>
  <c r="F208" i="1"/>
  <c r="G208" i="1"/>
  <c r="H208" i="1"/>
  <c r="B208" i="1" s="1" a="1"/>
  <c r="B208" i="1" s="1"/>
  <c r="I208" i="1"/>
  <c r="C209" i="1"/>
  <c r="D209" i="1"/>
  <c r="E209" i="1" a="1"/>
  <c r="E209" i="1" s="1"/>
  <c r="F209" i="1"/>
  <c r="G209" i="1"/>
  <c r="H209" i="1"/>
  <c r="I209" i="1"/>
  <c r="C210" i="1"/>
  <c r="D210" i="1"/>
  <c r="E210" i="1" a="1"/>
  <c r="E210" i="1" s="1"/>
  <c r="F210" i="1"/>
  <c r="G210" i="1"/>
  <c r="H210" i="1"/>
  <c r="B210" i="1" s="1" a="1"/>
  <c r="B210" i="1" s="1"/>
  <c r="I210" i="1"/>
  <c r="J210" i="1" a="1"/>
  <c r="J210" i="1" s="1"/>
  <c r="B211" i="1" a="1"/>
  <c r="B211" i="1" s="1"/>
  <c r="C211" i="1"/>
  <c r="D211" i="1"/>
  <c r="E211" i="1" a="1"/>
  <c r="E211" i="1"/>
  <c r="F211" i="1"/>
  <c r="G211" i="1"/>
  <c r="H211" i="1"/>
  <c r="I211" i="1"/>
  <c r="J211" i="1" a="1"/>
  <c r="J211" i="1" s="1"/>
  <c r="B212" i="1" a="1"/>
  <c r="B212" i="1" s="1"/>
  <c r="C212" i="1"/>
  <c r="D212" i="1"/>
  <c r="E212" i="1" a="1"/>
  <c r="E212" i="1"/>
  <c r="F212" i="1"/>
  <c r="G212" i="1"/>
  <c r="H212" i="1"/>
  <c r="J212" i="1" s="1" a="1"/>
  <c r="J212" i="1" s="1"/>
  <c r="I212" i="1"/>
  <c r="C213" i="1"/>
  <c r="D213" i="1"/>
  <c r="E213" i="1" a="1"/>
  <c r="E213" i="1"/>
  <c r="F213" i="1"/>
  <c r="G213" i="1"/>
  <c r="H213" i="1"/>
  <c r="I213" i="1"/>
  <c r="C214" i="1"/>
  <c r="D214" i="1"/>
  <c r="E214" i="1" a="1"/>
  <c r="E214" i="1"/>
  <c r="F214" i="1"/>
  <c r="G214" i="1"/>
  <c r="H214" i="1"/>
  <c r="I214" i="1"/>
  <c r="C215" i="1"/>
  <c r="D215" i="1"/>
  <c r="E215" i="1" a="1"/>
  <c r="E215" i="1"/>
  <c r="F215" i="1"/>
  <c r="G215" i="1"/>
  <c r="H215" i="1"/>
  <c r="B215" i="1" s="1" a="1"/>
  <c r="B215" i="1" s="1"/>
  <c r="I215" i="1"/>
  <c r="J215" i="1" a="1"/>
  <c r="J215" i="1" s="1"/>
  <c r="C216" i="1"/>
  <c r="D216" i="1"/>
  <c r="E216" i="1" a="1"/>
  <c r="E216" i="1"/>
  <c r="F216" i="1"/>
  <c r="G216" i="1"/>
  <c r="H216" i="1"/>
  <c r="B216" i="1" s="1" a="1"/>
  <c r="B216" i="1" s="1"/>
  <c r="I216" i="1"/>
  <c r="J216" i="1" a="1"/>
  <c r="J216" i="1" s="1"/>
  <c r="B217" i="1" a="1"/>
  <c r="B217" i="1" s="1"/>
  <c r="C217" i="1"/>
  <c r="D217" i="1"/>
  <c r="E217" i="1" a="1"/>
  <c r="E217" i="1"/>
  <c r="F217" i="1"/>
  <c r="G217" i="1"/>
  <c r="H217" i="1"/>
  <c r="J217" i="1" s="1" a="1"/>
  <c r="J217" i="1" s="1"/>
  <c r="I217" i="1"/>
  <c r="C218" i="1"/>
  <c r="D218" i="1"/>
  <c r="E218" i="1" a="1"/>
  <c r="E218" i="1"/>
  <c r="F218" i="1"/>
  <c r="G218" i="1"/>
  <c r="H218" i="1"/>
  <c r="B218" i="1" s="1" a="1"/>
  <c r="B218" i="1" s="1"/>
  <c r="I218" i="1"/>
  <c r="J218" i="1" a="1"/>
  <c r="J218" i="1" s="1"/>
  <c r="C219" i="1"/>
  <c r="D219" i="1"/>
  <c r="E219" i="1" a="1"/>
  <c r="E219" i="1"/>
  <c r="F219" i="1"/>
  <c r="G219" i="1"/>
  <c r="H219" i="1"/>
  <c r="B219" i="1" s="1" a="1"/>
  <c r="B219" i="1" s="1"/>
  <c r="I219" i="1"/>
  <c r="C220" i="1"/>
  <c r="D220" i="1"/>
  <c r="E220" i="1" a="1"/>
  <c r="E220" i="1" s="1"/>
  <c r="F220" i="1"/>
  <c r="G220" i="1"/>
  <c r="H220" i="1"/>
  <c r="J220" i="1" s="1" a="1"/>
  <c r="J220" i="1" s="1"/>
  <c r="I220" i="1"/>
  <c r="B221" i="1" a="1"/>
  <c r="B221" i="1" s="1"/>
  <c r="C221" i="1"/>
  <c r="D221" i="1"/>
  <c r="E221" i="1" a="1"/>
  <c r="E221" i="1" s="1"/>
  <c r="F221" i="1"/>
  <c r="G221" i="1"/>
  <c r="H221" i="1"/>
  <c r="I221" i="1"/>
  <c r="J221" i="1" a="1"/>
  <c r="J221" i="1" s="1"/>
  <c r="B222" i="1" a="1"/>
  <c r="B222" i="1"/>
  <c r="C222" i="1"/>
  <c r="D222" i="1"/>
  <c r="E222" i="1" a="1"/>
  <c r="E222" i="1"/>
  <c r="F222" i="1"/>
  <c r="G222" i="1"/>
  <c r="H222" i="1"/>
  <c r="I222" i="1"/>
  <c r="J222" i="1" a="1"/>
  <c r="J222" i="1" s="1"/>
  <c r="B223" i="1" a="1"/>
  <c r="B223" i="1" s="1"/>
  <c r="C223" i="1"/>
  <c r="D223" i="1"/>
  <c r="E223" i="1" a="1"/>
  <c r="E223" i="1"/>
  <c r="F223" i="1"/>
  <c r="G223" i="1"/>
  <c r="H223" i="1"/>
  <c r="I223" i="1"/>
  <c r="J223" i="1" a="1"/>
  <c r="J223" i="1" s="1"/>
  <c r="B224" i="1" a="1"/>
  <c r="B224" i="1"/>
  <c r="C224" i="1"/>
  <c r="D224" i="1"/>
  <c r="E224" i="1" a="1"/>
  <c r="E224" i="1" s="1"/>
  <c r="F224" i="1"/>
  <c r="G224" i="1"/>
  <c r="H224" i="1"/>
  <c r="J224" i="1" s="1" a="1"/>
  <c r="J224" i="1" s="1"/>
  <c r="I224" i="1"/>
  <c r="C225" i="1"/>
  <c r="D225" i="1"/>
  <c r="E225" i="1" a="1"/>
  <c r="E225" i="1" s="1"/>
  <c r="F225" i="1"/>
  <c r="G225" i="1"/>
  <c r="H225" i="1"/>
  <c r="I225" i="1"/>
  <c r="C226" i="1"/>
  <c r="D226" i="1"/>
  <c r="E226" i="1" a="1"/>
  <c r="E226" i="1" s="1"/>
  <c r="F226" i="1"/>
  <c r="G226" i="1"/>
  <c r="H226" i="1"/>
  <c r="I226" i="1"/>
  <c r="C227" i="1"/>
  <c r="D227" i="1"/>
  <c r="E227" i="1" a="1"/>
  <c r="E227" i="1" s="1"/>
  <c r="F227" i="1"/>
  <c r="G227" i="1"/>
  <c r="H227" i="1"/>
  <c r="B227" i="1" s="1" a="1"/>
  <c r="B227" i="1" s="1"/>
  <c r="I227" i="1"/>
  <c r="C228" i="1"/>
  <c r="D228" i="1"/>
  <c r="E228" i="1" a="1"/>
  <c r="E228" i="1"/>
  <c r="F228" i="1"/>
  <c r="G228" i="1"/>
  <c r="H228" i="1"/>
  <c r="B228" i="1" s="1" a="1"/>
  <c r="B228" i="1" s="1"/>
  <c r="I228" i="1"/>
  <c r="J228" i="1" a="1"/>
  <c r="J228" i="1" s="1"/>
  <c r="C229" i="1"/>
  <c r="D229" i="1"/>
  <c r="E229" i="1" a="1"/>
  <c r="E229" i="1"/>
  <c r="F229" i="1"/>
  <c r="G229" i="1"/>
  <c r="H229" i="1"/>
  <c r="J229" i="1" s="1" a="1"/>
  <c r="J229" i="1" s="1"/>
  <c r="I229" i="1"/>
  <c r="C230" i="1"/>
  <c r="D230" i="1"/>
  <c r="E230" i="1" a="1"/>
  <c r="E230" i="1"/>
  <c r="F230" i="1"/>
  <c r="G230" i="1"/>
  <c r="H230" i="1"/>
  <c r="J230" i="1" s="1" a="1"/>
  <c r="J230" i="1" s="1"/>
  <c r="I230" i="1"/>
  <c r="C231" i="1"/>
  <c r="D231" i="1"/>
  <c r="E231" i="1" a="1"/>
  <c r="E231" i="1"/>
  <c r="F231" i="1"/>
  <c r="G231" i="1"/>
  <c r="H231" i="1"/>
  <c r="B231" i="1" s="1" a="1"/>
  <c r="B231" i="1" s="1"/>
  <c r="I231" i="1"/>
  <c r="J231" i="1" a="1"/>
  <c r="J231" i="1" s="1"/>
  <c r="C232" i="1"/>
  <c r="D232" i="1"/>
  <c r="E232" i="1" a="1"/>
  <c r="E232" i="1" s="1"/>
  <c r="F232" i="1"/>
  <c r="G232" i="1"/>
  <c r="H232" i="1"/>
  <c r="J232" i="1" s="1" a="1"/>
  <c r="J232" i="1" s="1"/>
  <c r="I232" i="1"/>
  <c r="B233" i="1" a="1"/>
  <c r="B233" i="1"/>
  <c r="C233" i="1"/>
  <c r="D233" i="1"/>
  <c r="E233" i="1" a="1"/>
  <c r="E233" i="1" s="1"/>
  <c r="F233" i="1"/>
  <c r="G233" i="1"/>
  <c r="H233" i="1"/>
  <c r="I233" i="1"/>
  <c r="J233" i="1" a="1"/>
  <c r="J233" i="1" s="1"/>
  <c r="B234" i="1" a="1"/>
  <c r="B234" i="1" s="1"/>
  <c r="C234" i="1"/>
  <c r="D234" i="1"/>
  <c r="E234" i="1" a="1"/>
  <c r="E234" i="1" s="1"/>
  <c r="F234" i="1"/>
  <c r="G234" i="1"/>
  <c r="H234" i="1"/>
  <c r="I234" i="1"/>
  <c r="J234" i="1" a="1"/>
  <c r="J234" i="1" s="1"/>
  <c r="B235" i="1" a="1"/>
  <c r="B235" i="1"/>
  <c r="C235" i="1"/>
  <c r="D235" i="1"/>
  <c r="E235" i="1" a="1"/>
  <c r="E235" i="1" s="1"/>
  <c r="F235" i="1"/>
  <c r="G235" i="1"/>
  <c r="H235" i="1"/>
  <c r="I235" i="1"/>
  <c r="J235" i="1" a="1"/>
  <c r="J235" i="1" s="1"/>
  <c r="C236" i="1"/>
  <c r="D236" i="1"/>
  <c r="E236" i="1" a="1"/>
  <c r="E236" i="1"/>
  <c r="F236" i="1"/>
  <c r="G236" i="1"/>
  <c r="H236" i="1"/>
  <c r="J236" i="1" s="1" a="1"/>
  <c r="J236" i="1" s="1"/>
  <c r="I236" i="1"/>
  <c r="C237" i="1"/>
  <c r="D237" i="1"/>
  <c r="E237" i="1" a="1"/>
  <c r="E237" i="1"/>
  <c r="F237" i="1"/>
  <c r="G237" i="1"/>
  <c r="H237" i="1"/>
  <c r="I237" i="1"/>
  <c r="C238" i="1"/>
  <c r="D238" i="1"/>
  <c r="E238" i="1" a="1"/>
  <c r="E238" i="1"/>
  <c r="F238" i="1"/>
  <c r="G238" i="1"/>
  <c r="H238" i="1"/>
  <c r="B238" i="1" s="1" a="1"/>
  <c r="B238" i="1" s="1"/>
  <c r="I238" i="1"/>
  <c r="C239" i="1"/>
  <c r="D239" i="1"/>
  <c r="E239" i="1" a="1"/>
  <c r="E239" i="1" s="1"/>
  <c r="F239" i="1"/>
  <c r="G239" i="1"/>
  <c r="H239" i="1"/>
  <c r="B239" i="1" s="1" a="1"/>
  <c r="B239" i="1" s="1"/>
  <c r="I239" i="1"/>
  <c r="B240" i="1" a="1"/>
  <c r="B240" i="1" s="1"/>
  <c r="C240" i="1"/>
  <c r="D240" i="1"/>
  <c r="E240" i="1" a="1"/>
  <c r="E240" i="1"/>
  <c r="F240" i="1"/>
  <c r="G240" i="1"/>
  <c r="H240" i="1"/>
  <c r="I240" i="1"/>
  <c r="J240" i="1" a="1"/>
  <c r="J240" i="1" s="1"/>
  <c r="C241" i="1"/>
  <c r="D241" i="1"/>
  <c r="E241" i="1" a="1"/>
  <c r="E241" i="1"/>
  <c r="F241" i="1"/>
  <c r="G241" i="1"/>
  <c r="H241" i="1"/>
  <c r="B241" i="1" s="1" a="1"/>
  <c r="B241" i="1" s="1"/>
  <c r="I241" i="1"/>
  <c r="J241" i="1" a="1"/>
  <c r="J241" i="1" s="1"/>
  <c r="B242" i="1" a="1"/>
  <c r="B242" i="1" s="1"/>
  <c r="C242" i="1"/>
  <c r="D242" i="1"/>
  <c r="E242" i="1" a="1"/>
  <c r="E242" i="1"/>
  <c r="F242" i="1"/>
  <c r="G242" i="1"/>
  <c r="H242" i="1"/>
  <c r="J242" i="1" s="1" a="1"/>
  <c r="J242" i="1" s="1"/>
  <c r="I242" i="1"/>
  <c r="C243" i="1"/>
  <c r="D243" i="1"/>
  <c r="E243" i="1" a="1"/>
  <c r="E243" i="1"/>
  <c r="F243" i="1"/>
  <c r="G243" i="1"/>
  <c r="H243" i="1"/>
  <c r="J243" i="1" s="1" a="1"/>
  <c r="J243" i="1" s="1"/>
  <c r="I243" i="1"/>
  <c r="C244" i="1"/>
  <c r="D244" i="1"/>
  <c r="E244" i="1" a="1"/>
  <c r="E244" i="1" s="1"/>
  <c r="F244" i="1"/>
  <c r="G244" i="1"/>
  <c r="H244" i="1"/>
  <c r="B244" i="1" s="1" a="1"/>
  <c r="B244" i="1" s="1"/>
  <c r="I244" i="1"/>
  <c r="J244" i="1" a="1"/>
  <c r="J244" i="1" s="1"/>
  <c r="B245" i="1" a="1"/>
  <c r="B245" i="1" s="1"/>
  <c r="C245" i="1"/>
  <c r="D245" i="1"/>
  <c r="E245" i="1" a="1"/>
  <c r="E245" i="1" s="1"/>
  <c r="F245" i="1"/>
  <c r="G245" i="1"/>
  <c r="H245" i="1"/>
  <c r="I245" i="1"/>
  <c r="J245" i="1" a="1"/>
  <c r="J245" i="1" s="1"/>
  <c r="B246" i="1" a="1"/>
  <c r="B246" i="1" s="1"/>
  <c r="C246" i="1"/>
  <c r="D246" i="1"/>
  <c r="E246" i="1" a="1"/>
  <c r="E246" i="1"/>
  <c r="F246" i="1"/>
  <c r="G246" i="1"/>
  <c r="H246" i="1"/>
  <c r="I246" i="1"/>
  <c r="J246" i="1" a="1"/>
  <c r="J246" i="1" s="1"/>
  <c r="B247" i="1" a="1"/>
  <c r="B247" i="1"/>
  <c r="C247" i="1"/>
  <c r="D247" i="1"/>
  <c r="E247" i="1" a="1"/>
  <c r="E247" i="1"/>
  <c r="F247" i="1"/>
  <c r="G247" i="1"/>
  <c r="H247" i="1"/>
  <c r="I247" i="1"/>
  <c r="J247" i="1" a="1"/>
  <c r="J247" i="1" s="1"/>
  <c r="B248" i="1" a="1"/>
  <c r="B248" i="1"/>
  <c r="C248" i="1"/>
  <c r="D248" i="1"/>
  <c r="E248" i="1" a="1"/>
  <c r="E248" i="1"/>
  <c r="F248" i="1"/>
  <c r="G248" i="1"/>
  <c r="H248" i="1"/>
  <c r="J248" i="1" s="1" a="1"/>
  <c r="J248" i="1" s="1"/>
  <c r="I248" i="1"/>
  <c r="B249" i="1" a="1"/>
  <c r="B249" i="1"/>
  <c r="C249" i="1"/>
  <c r="D249" i="1"/>
  <c r="E249" i="1" a="1"/>
  <c r="E249" i="1" s="1"/>
  <c r="F249" i="1"/>
  <c r="G249" i="1"/>
  <c r="H249" i="1"/>
  <c r="J249" i="1" s="1" a="1"/>
  <c r="J249" i="1" s="1"/>
  <c r="I249" i="1"/>
  <c r="C250" i="1"/>
  <c r="D250" i="1"/>
  <c r="E250" i="1" a="1"/>
  <c r="E250" i="1" s="1"/>
  <c r="F250" i="1"/>
  <c r="G250" i="1"/>
  <c r="H250" i="1"/>
  <c r="B250" i="1" s="1" a="1"/>
  <c r="B250" i="1" s="1"/>
  <c r="I250" i="1"/>
  <c r="C251" i="1"/>
  <c r="D251" i="1"/>
  <c r="E251" i="1" a="1"/>
  <c r="E251" i="1"/>
  <c r="F251" i="1"/>
  <c r="G251" i="1"/>
  <c r="H251" i="1"/>
  <c r="B251" i="1" s="1" a="1"/>
  <c r="B251" i="1" s="1"/>
  <c r="I251" i="1"/>
  <c r="J251" i="1" a="1"/>
  <c r="J251" i="1" s="1"/>
  <c r="C252" i="1"/>
  <c r="D252" i="1"/>
  <c r="E252" i="1" a="1"/>
  <c r="E252" i="1"/>
  <c r="F252" i="1"/>
  <c r="G252" i="1"/>
  <c r="H252" i="1"/>
  <c r="J252" i="1" s="1" a="1"/>
  <c r="J252" i="1" s="1"/>
  <c r="I252" i="1"/>
  <c r="B253" i="1" a="1"/>
  <c r="B253" i="1"/>
  <c r="C253" i="1"/>
  <c r="D253" i="1"/>
  <c r="E253" i="1" a="1"/>
  <c r="E253" i="1"/>
  <c r="F253" i="1"/>
  <c r="G253" i="1"/>
  <c r="H253" i="1"/>
  <c r="I253" i="1"/>
  <c r="J253" i="1" a="1"/>
  <c r="J253" i="1" s="1"/>
  <c r="B254" i="1" a="1"/>
  <c r="B254" i="1"/>
  <c r="C254" i="1"/>
  <c r="D254" i="1"/>
  <c r="E254" i="1" a="1"/>
  <c r="E254" i="1"/>
  <c r="F254" i="1"/>
  <c r="G254" i="1"/>
  <c r="H254" i="1"/>
  <c r="I254" i="1"/>
  <c r="J254" i="1" a="1"/>
  <c r="J254" i="1" s="1"/>
  <c r="B255" i="1" a="1"/>
  <c r="B255" i="1" s="1"/>
  <c r="C255" i="1"/>
  <c r="D255" i="1"/>
  <c r="E255" i="1" a="1"/>
  <c r="E255" i="1"/>
  <c r="F255" i="1"/>
  <c r="G255" i="1"/>
  <c r="H255" i="1"/>
  <c r="J255" i="1" s="1" a="1"/>
  <c r="J255" i="1" s="1"/>
  <c r="I255" i="1"/>
  <c r="B256" i="1" a="1"/>
  <c r="B256" i="1"/>
  <c r="C256" i="1"/>
  <c r="D256" i="1"/>
  <c r="E256" i="1" a="1"/>
  <c r="E256" i="1" s="1"/>
  <c r="F256" i="1"/>
  <c r="G256" i="1"/>
  <c r="H256" i="1"/>
  <c r="I256" i="1"/>
  <c r="J256" i="1" a="1"/>
  <c r="J256" i="1" s="1"/>
  <c r="C257" i="1"/>
  <c r="D257" i="1"/>
  <c r="E257" i="1" a="1"/>
  <c r="E257" i="1"/>
  <c r="F257" i="1"/>
  <c r="G257" i="1"/>
  <c r="H257" i="1"/>
  <c r="B257" i="1" s="1" a="1"/>
  <c r="B257" i="1" s="1"/>
  <c r="I257" i="1"/>
  <c r="J257" i="1" a="1"/>
  <c r="J257" i="1" s="1"/>
  <c r="B258" i="1" a="1"/>
  <c r="B258" i="1" s="1"/>
  <c r="C258" i="1"/>
  <c r="D258" i="1"/>
  <c r="E258" i="1" a="1"/>
  <c r="E258" i="1" s="1"/>
  <c r="F258" i="1"/>
  <c r="G258" i="1"/>
  <c r="H258" i="1"/>
  <c r="I258" i="1"/>
  <c r="J258" i="1" a="1"/>
  <c r="J258" i="1" s="1"/>
  <c r="B259" i="1" a="1"/>
  <c r="B259" i="1"/>
  <c r="C259" i="1"/>
  <c r="D259" i="1"/>
  <c r="E259" i="1" a="1"/>
  <c r="E259" i="1"/>
  <c r="F259" i="1"/>
  <c r="G259" i="1"/>
  <c r="H259" i="1"/>
  <c r="I259" i="1"/>
  <c r="J259" i="1" a="1"/>
  <c r="J259" i="1" s="1"/>
  <c r="C260" i="1"/>
  <c r="D260" i="1"/>
  <c r="E260" i="1" a="1"/>
  <c r="E260" i="1"/>
  <c r="F260" i="1"/>
  <c r="G260" i="1"/>
  <c r="H260" i="1"/>
  <c r="J260" i="1" s="1" a="1"/>
  <c r="J260" i="1" s="1"/>
  <c r="I260" i="1"/>
  <c r="C261" i="1"/>
  <c r="D261" i="1"/>
  <c r="E261" i="1" a="1"/>
  <c r="E261" i="1" s="1"/>
  <c r="F261" i="1"/>
  <c r="G261" i="1"/>
  <c r="H261" i="1"/>
  <c r="I261" i="1"/>
  <c r="B262" i="1"/>
  <c r="C262" i="1"/>
  <c r="D262" i="1"/>
  <c r="E262" i="1" a="1"/>
  <c r="E262" i="1"/>
  <c r="F262" i="1"/>
  <c r="G262" i="1"/>
  <c r="H262" i="1"/>
  <c r="B262" i="1" s="1" a="1"/>
  <c r="I262" i="1"/>
  <c r="J262" i="1" a="1"/>
  <c r="J262" i="1" s="1"/>
  <c r="C263" i="1"/>
  <c r="D263" i="1"/>
  <c r="E263" i="1" a="1"/>
  <c r="E263" i="1" s="1"/>
  <c r="F263" i="1"/>
  <c r="G263" i="1"/>
  <c r="H263" i="1"/>
  <c r="B263" i="1" s="1" a="1"/>
  <c r="B263" i="1" s="1"/>
  <c r="I263" i="1"/>
  <c r="J263" i="1" a="1"/>
  <c r="J263" i="1" s="1"/>
  <c r="C264" i="1"/>
  <c r="D264" i="1"/>
  <c r="E264" i="1" a="1"/>
  <c r="E264" i="1" s="1"/>
  <c r="F264" i="1"/>
  <c r="G264" i="1"/>
  <c r="H264" i="1"/>
  <c r="B264" i="1" s="1" a="1"/>
  <c r="B264" i="1" s="1"/>
  <c r="I264" i="1"/>
  <c r="C265" i="1"/>
  <c r="D265" i="1"/>
  <c r="E265" i="1" a="1"/>
  <c r="E265" i="1"/>
  <c r="F265" i="1"/>
  <c r="G265" i="1"/>
  <c r="H265" i="1"/>
  <c r="J265" i="1" s="1" a="1"/>
  <c r="J265" i="1" s="1"/>
  <c r="I265" i="1"/>
  <c r="C266" i="1"/>
  <c r="D266" i="1"/>
  <c r="E266" i="1" a="1"/>
  <c r="E266" i="1"/>
  <c r="F266" i="1"/>
  <c r="G266" i="1"/>
  <c r="H266" i="1"/>
  <c r="J266" i="1" s="1" a="1"/>
  <c r="J266" i="1" s="1"/>
  <c r="I266" i="1"/>
  <c r="C267" i="1"/>
  <c r="D267" i="1"/>
  <c r="E267" i="1" a="1"/>
  <c r="E267" i="1"/>
  <c r="F267" i="1"/>
  <c r="G267" i="1"/>
  <c r="H267" i="1"/>
  <c r="B267" i="1" s="1" a="1"/>
  <c r="B267" i="1" s="1"/>
  <c r="I267" i="1"/>
  <c r="J267" i="1" a="1"/>
  <c r="J267" i="1" s="1"/>
  <c r="C268" i="1"/>
  <c r="D268" i="1"/>
  <c r="E268" i="1" a="1"/>
  <c r="E268" i="1" s="1"/>
  <c r="F268" i="1"/>
  <c r="G268" i="1"/>
  <c r="H268" i="1"/>
  <c r="J268" i="1" s="1" a="1"/>
  <c r="J268" i="1" s="1"/>
  <c r="I268" i="1"/>
  <c r="B269" i="1" a="1"/>
  <c r="B269" i="1" s="1"/>
  <c r="C269" i="1"/>
  <c r="D269" i="1"/>
  <c r="E269" i="1" a="1"/>
  <c r="E269" i="1" s="1"/>
  <c r="F269" i="1"/>
  <c r="G269" i="1"/>
  <c r="H269" i="1"/>
  <c r="I269" i="1"/>
  <c r="J269" i="1" a="1"/>
  <c r="J269" i="1" s="1"/>
  <c r="B270" i="1" a="1"/>
  <c r="B270" i="1"/>
  <c r="C270" i="1"/>
  <c r="D270" i="1"/>
  <c r="E270" i="1" a="1"/>
  <c r="E270" i="1"/>
  <c r="F270" i="1"/>
  <c r="G270" i="1"/>
  <c r="H270" i="1"/>
  <c r="I270" i="1"/>
  <c r="J270" i="1" a="1"/>
  <c r="J270" i="1" s="1"/>
  <c r="B271" i="1" a="1"/>
  <c r="B271" i="1" s="1"/>
  <c r="C271" i="1"/>
  <c r="D271" i="1"/>
  <c r="E271" i="1" a="1"/>
  <c r="E271" i="1" s="1"/>
  <c r="F271" i="1"/>
  <c r="G271" i="1"/>
  <c r="H271" i="1"/>
  <c r="I271" i="1"/>
  <c r="J271" i="1" a="1"/>
  <c r="J271" i="1" s="1"/>
  <c r="B272" i="1" a="1"/>
  <c r="B272" i="1"/>
  <c r="C272" i="1"/>
  <c r="D272" i="1"/>
  <c r="E272" i="1" a="1"/>
  <c r="E272" i="1" s="1"/>
  <c r="F272" i="1"/>
  <c r="G272" i="1"/>
  <c r="H272" i="1"/>
  <c r="J272" i="1" s="1" a="1"/>
  <c r="J272" i="1" s="1"/>
  <c r="I272" i="1"/>
  <c r="C273" i="1"/>
  <c r="D273" i="1"/>
  <c r="E273" i="1" a="1"/>
  <c r="E273" i="1" s="1"/>
  <c r="F273" i="1"/>
  <c r="G273" i="1"/>
  <c r="H273" i="1"/>
  <c r="J273" i="1" s="1" a="1"/>
  <c r="I273" i="1"/>
  <c r="J273" i="1"/>
  <c r="C274" i="1"/>
  <c r="D274" i="1"/>
  <c r="E274" i="1" a="1"/>
  <c r="E274" i="1"/>
  <c r="F274" i="1"/>
  <c r="G274" i="1"/>
  <c r="H274" i="1"/>
  <c r="J274" i="1" s="1" a="1"/>
  <c r="I274" i="1"/>
  <c r="J274" i="1"/>
  <c r="B275" i="1" a="1"/>
  <c r="B275" i="1" s="1"/>
  <c r="C275" i="1"/>
  <c r="D275" i="1"/>
  <c r="E275" i="1" a="1"/>
  <c r="E275" i="1" s="1"/>
  <c r="F275" i="1"/>
  <c r="G275" i="1"/>
  <c r="H275" i="1"/>
  <c r="J275" i="1" s="1" a="1"/>
  <c r="I275" i="1"/>
  <c r="J275" i="1"/>
  <c r="C276" i="1"/>
  <c r="D276" i="1"/>
  <c r="E276" i="1" a="1"/>
  <c r="E276" i="1"/>
  <c r="F276" i="1"/>
  <c r="G276" i="1"/>
  <c r="H276" i="1"/>
  <c r="J276" i="1" s="1" a="1"/>
  <c r="J276" i="1" s="1"/>
  <c r="I276" i="1"/>
  <c r="C277" i="1"/>
  <c r="D277" i="1"/>
  <c r="E277" i="1" a="1"/>
  <c r="E277" i="1"/>
  <c r="F277" i="1"/>
  <c r="G277" i="1"/>
  <c r="H277" i="1"/>
  <c r="I277" i="1"/>
  <c r="C278" i="1"/>
  <c r="D278" i="1"/>
  <c r="E278" i="1" a="1"/>
  <c r="E278" i="1"/>
  <c r="F278" i="1"/>
  <c r="G278" i="1"/>
  <c r="H278" i="1"/>
  <c r="J278" i="1" s="1" a="1"/>
  <c r="I278" i="1"/>
  <c r="J278" i="1"/>
  <c r="C279" i="1"/>
  <c r="D279" i="1"/>
  <c r="E279" i="1" a="1"/>
  <c r="E279" i="1" s="1"/>
  <c r="F279" i="1"/>
  <c r="G279" i="1"/>
  <c r="H279" i="1"/>
  <c r="I279" i="1"/>
  <c r="B280" i="1" a="1"/>
  <c r="B280" i="1" s="1"/>
  <c r="C280" i="1"/>
  <c r="D280" i="1"/>
  <c r="E280" i="1" a="1"/>
  <c r="E280" i="1"/>
  <c r="F280" i="1"/>
  <c r="G280" i="1"/>
  <c r="H280" i="1"/>
  <c r="J280" i="1" s="1" a="1"/>
  <c r="J280" i="1" s="1"/>
  <c r="I280" i="1"/>
  <c r="B281" i="1" a="1"/>
  <c r="B281" i="1" s="1"/>
  <c r="C281" i="1"/>
  <c r="D281" i="1"/>
  <c r="E281" i="1" a="1"/>
  <c r="E281" i="1" s="1"/>
  <c r="F281" i="1"/>
  <c r="G281" i="1"/>
  <c r="H281" i="1"/>
  <c r="J281" i="1" s="1" a="1"/>
  <c r="I281" i="1"/>
  <c r="J281" i="1"/>
  <c r="B282" i="1" a="1"/>
  <c r="B282" i="1"/>
  <c r="C282" i="1"/>
  <c r="D282" i="1"/>
  <c r="E282" i="1" a="1"/>
  <c r="E282" i="1"/>
  <c r="F282" i="1"/>
  <c r="G282" i="1"/>
  <c r="H282" i="1"/>
  <c r="J282" i="1" s="1" a="1"/>
  <c r="I282" i="1"/>
  <c r="J282" i="1"/>
  <c r="B283" i="1" a="1"/>
  <c r="B283" i="1" s="1"/>
  <c r="C283" i="1"/>
  <c r="D283" i="1"/>
  <c r="E283" i="1" a="1"/>
  <c r="E283" i="1" s="1"/>
  <c r="F283" i="1"/>
  <c r="G283" i="1"/>
  <c r="H283" i="1"/>
  <c r="J283" i="1" s="1" a="1"/>
  <c r="J283" i="1" s="1"/>
  <c r="I283" i="1"/>
  <c r="B284" i="1" a="1"/>
  <c r="B284" i="1"/>
  <c r="C284" i="1"/>
  <c r="D284" i="1"/>
  <c r="E284" i="1" a="1"/>
  <c r="E284" i="1" s="1"/>
  <c r="F284" i="1"/>
  <c r="G284" i="1"/>
  <c r="H284" i="1"/>
  <c r="J284" i="1" s="1" a="1"/>
  <c r="J284" i="1" s="1"/>
  <c r="I284" i="1"/>
  <c r="C285" i="1"/>
  <c r="D285" i="1"/>
  <c r="E285" i="1" a="1"/>
  <c r="E285" i="1" s="1"/>
  <c r="F285" i="1"/>
  <c r="G285" i="1"/>
  <c r="H285" i="1"/>
  <c r="J285" i="1" s="1" a="1"/>
  <c r="I285" i="1"/>
  <c r="J285" i="1"/>
  <c r="C286" i="1"/>
  <c r="D286" i="1"/>
  <c r="E286" i="1" a="1"/>
  <c r="E286" i="1"/>
  <c r="F286" i="1"/>
  <c r="G286" i="1"/>
  <c r="H286" i="1"/>
  <c r="J286" i="1" s="1" a="1"/>
  <c r="I286" i="1"/>
  <c r="J286" i="1"/>
  <c r="B287" i="1" a="1"/>
  <c r="B287" i="1" s="1"/>
  <c r="C287" i="1"/>
  <c r="D287" i="1"/>
  <c r="E287" i="1" a="1"/>
  <c r="E287" i="1" s="1"/>
  <c r="F287" i="1"/>
  <c r="G287" i="1"/>
  <c r="H287" i="1"/>
  <c r="J287" i="1" s="1" a="1"/>
  <c r="I287" i="1"/>
  <c r="J287" i="1"/>
  <c r="C288" i="1"/>
  <c r="D288" i="1"/>
  <c r="E288" i="1" a="1"/>
  <c r="E288" i="1"/>
  <c r="F288" i="1"/>
  <c r="G288" i="1"/>
  <c r="H288" i="1"/>
  <c r="J288" i="1" s="1" a="1"/>
  <c r="J288" i="1" s="1"/>
  <c r="I288" i="1"/>
  <c r="C289" i="1"/>
  <c r="D289" i="1"/>
  <c r="E289" i="1" a="1"/>
  <c r="E289" i="1"/>
  <c r="F289" i="1"/>
  <c r="G289" i="1"/>
  <c r="H289" i="1"/>
  <c r="I289" i="1"/>
  <c r="C290" i="1"/>
  <c r="D290" i="1"/>
  <c r="E290" i="1" a="1"/>
  <c r="E290" i="1"/>
  <c r="F290" i="1"/>
  <c r="G290" i="1"/>
  <c r="H290" i="1"/>
  <c r="J290" i="1" s="1" a="1"/>
  <c r="I290" i="1"/>
  <c r="J290" i="1"/>
  <c r="C291" i="1"/>
  <c r="D291" i="1"/>
  <c r="E291" i="1" a="1"/>
  <c r="E291" i="1" s="1"/>
  <c r="F291" i="1"/>
  <c r="G291" i="1"/>
  <c r="H291" i="1"/>
  <c r="I291" i="1"/>
  <c r="B292" i="1" a="1"/>
  <c r="B292" i="1" s="1"/>
  <c r="C292" i="1"/>
  <c r="D292" i="1"/>
  <c r="E292" i="1" a="1"/>
  <c r="E292" i="1"/>
  <c r="F292" i="1"/>
  <c r="G292" i="1"/>
  <c r="H292" i="1"/>
  <c r="J292" i="1" s="1" a="1"/>
  <c r="J292" i="1" s="1"/>
  <c r="I292" i="1"/>
  <c r="B293" i="1" a="1"/>
  <c r="B293" i="1" s="1"/>
  <c r="C293" i="1"/>
  <c r="D293" i="1"/>
  <c r="E293" i="1" a="1"/>
  <c r="E293" i="1" s="1"/>
  <c r="F293" i="1"/>
  <c r="G293" i="1"/>
  <c r="H293" i="1"/>
  <c r="J293" i="1" s="1" a="1"/>
  <c r="I293" i="1"/>
  <c r="J293" i="1"/>
  <c r="B294" i="1" a="1"/>
  <c r="B294" i="1"/>
  <c r="C294" i="1"/>
  <c r="D294" i="1"/>
  <c r="E294" i="1" a="1"/>
  <c r="E294" i="1"/>
  <c r="F294" i="1"/>
  <c r="G294" i="1"/>
  <c r="H294" i="1"/>
  <c r="J294" i="1" s="1" a="1"/>
  <c r="I294" i="1"/>
  <c r="J294" i="1"/>
  <c r="B295" i="1" a="1"/>
  <c r="B295" i="1" s="1"/>
  <c r="C295" i="1"/>
  <c r="D295" i="1"/>
  <c r="E295" i="1" a="1"/>
  <c r="E295" i="1" s="1"/>
  <c r="F295" i="1"/>
  <c r="G295" i="1"/>
  <c r="H295" i="1"/>
  <c r="J295" i="1" s="1" a="1"/>
  <c r="J295" i="1" s="1"/>
  <c r="I295" i="1"/>
  <c r="B296" i="1" a="1"/>
  <c r="B296" i="1"/>
  <c r="C296" i="1"/>
  <c r="D296" i="1"/>
  <c r="E296" i="1" a="1"/>
  <c r="E296" i="1" s="1"/>
  <c r="F296" i="1"/>
  <c r="G296" i="1"/>
  <c r="H296" i="1"/>
  <c r="J296" i="1" s="1" a="1"/>
  <c r="J296" i="1" s="1"/>
  <c r="I296" i="1"/>
  <c r="C297" i="1"/>
  <c r="D297" i="1"/>
  <c r="E297" i="1" a="1"/>
  <c r="E297" i="1"/>
  <c r="F297" i="1"/>
  <c r="G297" i="1"/>
  <c r="H297" i="1"/>
  <c r="J297" i="1" s="1" a="1"/>
  <c r="I297" i="1"/>
  <c r="J297" i="1"/>
  <c r="C298" i="1"/>
  <c r="D298" i="1"/>
  <c r="E298" i="1" a="1"/>
  <c r="E298" i="1"/>
  <c r="F298" i="1"/>
  <c r="G298" i="1"/>
  <c r="H298" i="1"/>
  <c r="J298" i="1" s="1" a="1"/>
  <c r="I298" i="1"/>
  <c r="J298" i="1"/>
  <c r="B299" i="1" a="1"/>
  <c r="B299" i="1" s="1"/>
  <c r="C299" i="1"/>
  <c r="D299" i="1"/>
  <c r="E299" i="1" a="1"/>
  <c r="E299" i="1" s="1"/>
  <c r="F299" i="1"/>
  <c r="G299" i="1"/>
  <c r="H299" i="1"/>
  <c r="J299" i="1" s="1" a="1"/>
  <c r="I299" i="1"/>
  <c r="J299" i="1"/>
  <c r="C300" i="1"/>
  <c r="D300" i="1"/>
  <c r="E300" i="1" a="1"/>
  <c r="E300" i="1"/>
  <c r="F300" i="1"/>
  <c r="G300" i="1"/>
  <c r="H300" i="1"/>
  <c r="I300" i="1"/>
  <c r="C301" i="1"/>
  <c r="D301" i="1"/>
  <c r="E301" i="1" a="1"/>
  <c r="E301" i="1"/>
  <c r="F301" i="1"/>
  <c r="G301" i="1"/>
  <c r="H301" i="1"/>
  <c r="I301" i="1"/>
  <c r="C302" i="1"/>
  <c r="D302" i="1"/>
  <c r="E302" i="1" a="1"/>
  <c r="E302" i="1"/>
  <c r="F302" i="1"/>
  <c r="G302" i="1"/>
  <c r="H302" i="1"/>
  <c r="J302" i="1" s="1" a="1"/>
  <c r="I302" i="1"/>
  <c r="J302" i="1"/>
  <c r="C303" i="1"/>
  <c r="D303" i="1"/>
  <c r="E303" i="1" a="1"/>
  <c r="E303" i="1" s="1"/>
  <c r="F303" i="1"/>
  <c r="G303" i="1"/>
  <c r="H303" i="1"/>
  <c r="I303" i="1"/>
  <c r="B304" i="1" a="1"/>
  <c r="B304" i="1" s="1"/>
  <c r="C304" i="1"/>
  <c r="D304" i="1"/>
  <c r="E304" i="1" a="1"/>
  <c r="E304" i="1"/>
  <c r="F304" i="1"/>
  <c r="G304" i="1"/>
  <c r="H304" i="1"/>
  <c r="J304" i="1" s="1" a="1"/>
  <c r="J304" i="1" s="1"/>
  <c r="I304" i="1"/>
  <c r="B305" i="1" a="1"/>
  <c r="B305" i="1" s="1"/>
  <c r="C305" i="1"/>
  <c r="D305" i="1"/>
  <c r="E305" i="1" a="1"/>
  <c r="E305" i="1" s="1"/>
  <c r="F305" i="1"/>
  <c r="G305" i="1"/>
  <c r="H305" i="1"/>
  <c r="J305" i="1" s="1" a="1"/>
  <c r="I305" i="1"/>
  <c r="J305" i="1"/>
  <c r="B306" i="1" a="1"/>
  <c r="B306" i="1"/>
  <c r="C306" i="1"/>
  <c r="D306" i="1"/>
  <c r="E306" i="1" a="1"/>
  <c r="E306" i="1"/>
  <c r="F306" i="1"/>
  <c r="G306" i="1"/>
  <c r="H306" i="1"/>
  <c r="J306" i="1" s="1" a="1"/>
  <c r="I306" i="1"/>
  <c r="J306" i="1"/>
  <c r="B307" i="1" a="1"/>
  <c r="B307" i="1" s="1"/>
  <c r="C307" i="1"/>
  <c r="D307" i="1"/>
  <c r="E307" i="1" a="1"/>
  <c r="E307" i="1" s="1"/>
  <c r="F307" i="1"/>
  <c r="G307" i="1"/>
  <c r="H307" i="1"/>
  <c r="J307" i="1" s="1" a="1"/>
  <c r="J307" i="1" s="1"/>
  <c r="I307" i="1"/>
  <c r="B308" i="1" a="1"/>
  <c r="B308" i="1"/>
  <c r="C308" i="1"/>
  <c r="D308" i="1"/>
  <c r="E308" i="1" a="1"/>
  <c r="E308" i="1" s="1"/>
  <c r="F308" i="1"/>
  <c r="G308" i="1"/>
  <c r="H308" i="1"/>
  <c r="J308" i="1" s="1" a="1"/>
  <c r="J308" i="1" s="1"/>
  <c r="I308" i="1"/>
  <c r="C309" i="1"/>
  <c r="D309" i="1"/>
  <c r="E309" i="1" a="1"/>
  <c r="E309" i="1"/>
  <c r="F309" i="1"/>
  <c r="G309" i="1"/>
  <c r="H309" i="1"/>
  <c r="J309" i="1" s="1" a="1"/>
  <c r="I309" i="1"/>
  <c r="J309" i="1"/>
  <c r="C310" i="1"/>
  <c r="D310" i="1"/>
  <c r="E310" i="1" a="1"/>
  <c r="E310" i="1"/>
  <c r="F310" i="1"/>
  <c r="G310" i="1"/>
  <c r="H310" i="1"/>
  <c r="J310" i="1" s="1" a="1"/>
  <c r="I310" i="1"/>
  <c r="J310" i="1"/>
  <c r="B311" i="1" a="1"/>
  <c r="B311" i="1" s="1"/>
  <c r="C311" i="1"/>
  <c r="D311" i="1"/>
  <c r="E311" i="1" a="1"/>
  <c r="E311" i="1" s="1"/>
  <c r="F311" i="1"/>
  <c r="G311" i="1"/>
  <c r="H311" i="1"/>
  <c r="J311" i="1" s="1" a="1"/>
  <c r="I311" i="1"/>
  <c r="J311" i="1"/>
  <c r="C312" i="1"/>
  <c r="D312" i="1"/>
  <c r="E312" i="1" a="1"/>
  <c r="E312" i="1"/>
  <c r="F312" i="1"/>
  <c r="G312" i="1"/>
  <c r="H312" i="1"/>
  <c r="I312" i="1"/>
  <c r="C313" i="1"/>
  <c r="D313" i="1"/>
  <c r="E313" i="1" a="1"/>
  <c r="E313" i="1"/>
  <c r="F313" i="1"/>
  <c r="G313" i="1"/>
  <c r="H313" i="1"/>
  <c r="I313" i="1"/>
  <c r="C314" i="1"/>
  <c r="D314" i="1"/>
  <c r="E314" i="1" a="1"/>
  <c r="E314" i="1"/>
  <c r="F314" i="1"/>
  <c r="G314" i="1"/>
  <c r="H314" i="1"/>
  <c r="J314" i="1" s="1" a="1"/>
  <c r="I314" i="1"/>
  <c r="J314" i="1"/>
  <c r="C315" i="1"/>
  <c r="D315" i="1"/>
  <c r="E315" i="1" a="1"/>
  <c r="E315" i="1" s="1"/>
  <c r="F315" i="1"/>
  <c r="G315" i="1"/>
  <c r="H315" i="1"/>
  <c r="I315" i="1"/>
  <c r="B316" i="1" a="1"/>
  <c r="B316" i="1" s="1"/>
  <c r="C316" i="1"/>
  <c r="D316" i="1"/>
  <c r="E316" i="1" a="1"/>
  <c r="E316" i="1"/>
  <c r="F316" i="1"/>
  <c r="G316" i="1"/>
  <c r="H316" i="1"/>
  <c r="J316" i="1" s="1" a="1"/>
  <c r="J316" i="1" s="1"/>
  <c r="I316" i="1"/>
  <c r="B317" i="1" a="1"/>
  <c r="B317" i="1" s="1"/>
  <c r="C317" i="1"/>
  <c r="D317" i="1"/>
  <c r="E317" i="1" a="1"/>
  <c r="E317" i="1" s="1"/>
  <c r="F317" i="1"/>
  <c r="G317" i="1"/>
  <c r="H317" i="1"/>
  <c r="J317" i="1" s="1" a="1"/>
  <c r="I317" i="1"/>
  <c r="J317" i="1"/>
  <c r="B318" i="1" a="1"/>
  <c r="B318" i="1"/>
  <c r="C318" i="1"/>
  <c r="D318" i="1"/>
  <c r="E318" i="1" a="1"/>
  <c r="E318" i="1"/>
  <c r="F318" i="1"/>
  <c r="G318" i="1"/>
  <c r="H318" i="1"/>
  <c r="J318" i="1" s="1" a="1"/>
  <c r="I318" i="1"/>
  <c r="J318" i="1"/>
  <c r="B319" i="1" a="1"/>
  <c r="B319" i="1" s="1"/>
  <c r="C319" i="1"/>
  <c r="D319" i="1"/>
  <c r="E319" i="1" a="1"/>
  <c r="E319" i="1" s="1"/>
  <c r="F319" i="1"/>
  <c r="G319" i="1"/>
  <c r="H319" i="1"/>
  <c r="J319" i="1" s="1" a="1"/>
  <c r="J319" i="1" s="1"/>
  <c r="I319" i="1"/>
  <c r="B320" i="1" a="1"/>
  <c r="B320" i="1"/>
  <c r="C320" i="1"/>
  <c r="D320" i="1"/>
  <c r="E320" i="1" a="1"/>
  <c r="E320" i="1" s="1"/>
  <c r="F320" i="1"/>
  <c r="G320" i="1"/>
  <c r="H320" i="1"/>
  <c r="J320" i="1" s="1" a="1"/>
  <c r="J320" i="1" s="1"/>
  <c r="I320" i="1"/>
  <c r="C321" i="1"/>
  <c r="D321" i="1"/>
  <c r="E321" i="1" a="1"/>
  <c r="E321" i="1"/>
  <c r="F321" i="1"/>
  <c r="G321" i="1"/>
  <c r="H321" i="1"/>
  <c r="J321" i="1" s="1" a="1"/>
  <c r="I321" i="1"/>
  <c r="J321" i="1"/>
  <c r="C322" i="1"/>
  <c r="D322" i="1"/>
  <c r="E322" i="1" a="1"/>
  <c r="E322" i="1"/>
  <c r="F322" i="1"/>
  <c r="G322" i="1"/>
  <c r="H322" i="1"/>
  <c r="J322" i="1" s="1" a="1"/>
  <c r="I322" i="1"/>
  <c r="J322" i="1"/>
  <c r="B323" i="1" a="1"/>
  <c r="B323" i="1" s="1"/>
  <c r="C323" i="1"/>
  <c r="D323" i="1"/>
  <c r="E323" i="1" a="1"/>
  <c r="E323" i="1" s="1"/>
  <c r="F323" i="1"/>
  <c r="G323" i="1"/>
  <c r="H323" i="1"/>
  <c r="J323" i="1" s="1" a="1"/>
  <c r="I323" i="1"/>
  <c r="J323" i="1"/>
  <c r="C324" i="1"/>
  <c r="D324" i="1"/>
  <c r="E324" i="1" a="1"/>
  <c r="E324" i="1"/>
  <c r="F324" i="1"/>
  <c r="G324" i="1"/>
  <c r="H324" i="1"/>
  <c r="I324" i="1"/>
  <c r="C325" i="1"/>
  <c r="D325" i="1"/>
  <c r="E325" i="1" a="1"/>
  <c r="E325" i="1"/>
  <c r="F325" i="1"/>
  <c r="G325" i="1"/>
  <c r="H325" i="1"/>
  <c r="J325" i="1" s="1" a="1"/>
  <c r="J325" i="1" s="1"/>
  <c r="I325" i="1"/>
  <c r="C326" i="1"/>
  <c r="D326" i="1"/>
  <c r="E326" i="1" a="1"/>
  <c r="E326" i="1"/>
  <c r="F326" i="1"/>
  <c r="G326" i="1"/>
  <c r="H326" i="1"/>
  <c r="J326" i="1" s="1" a="1"/>
  <c r="I326" i="1"/>
  <c r="J326" i="1"/>
  <c r="C327" i="1"/>
  <c r="D327" i="1"/>
  <c r="E327" i="1" a="1"/>
  <c r="E327" i="1" s="1"/>
  <c r="F327" i="1"/>
  <c r="G327" i="1"/>
  <c r="H327" i="1"/>
  <c r="I327" i="1"/>
  <c r="B328" i="1" a="1"/>
  <c r="B328" i="1" s="1"/>
  <c r="C328" i="1"/>
  <c r="D328" i="1"/>
  <c r="E328" i="1" a="1"/>
  <c r="E328" i="1"/>
  <c r="F328" i="1"/>
  <c r="G328" i="1"/>
  <c r="H328" i="1"/>
  <c r="J328" i="1" s="1" a="1"/>
  <c r="J328" i="1" s="1"/>
  <c r="I328" i="1"/>
  <c r="B329" i="1" a="1"/>
  <c r="B329" i="1" s="1"/>
  <c r="C329" i="1"/>
  <c r="D329" i="1"/>
  <c r="E329" i="1" a="1"/>
  <c r="E329" i="1" s="1"/>
  <c r="F329" i="1"/>
  <c r="G329" i="1"/>
  <c r="H329" i="1"/>
  <c r="J329" i="1" s="1" a="1"/>
  <c r="I329" i="1"/>
  <c r="J329" i="1"/>
  <c r="B330" i="1" a="1"/>
  <c r="B330" i="1"/>
  <c r="C330" i="1"/>
  <c r="D330" i="1"/>
  <c r="E330" i="1" a="1"/>
  <c r="E330" i="1"/>
  <c r="F330" i="1"/>
  <c r="G330" i="1"/>
  <c r="H330" i="1"/>
  <c r="J330" i="1" s="1" a="1"/>
  <c r="I330" i="1"/>
  <c r="J330" i="1"/>
  <c r="B331" i="1" a="1"/>
  <c r="B331" i="1" s="1"/>
  <c r="C331" i="1"/>
  <c r="D331" i="1"/>
  <c r="E331" i="1" a="1"/>
  <c r="E331" i="1" s="1"/>
  <c r="F331" i="1"/>
  <c r="G331" i="1"/>
  <c r="H331" i="1"/>
  <c r="J331" i="1" s="1" a="1"/>
  <c r="J331" i="1" s="1"/>
  <c r="I331" i="1"/>
  <c r="B332" i="1" a="1"/>
  <c r="B332" i="1"/>
  <c r="C332" i="1"/>
  <c r="D332" i="1"/>
  <c r="E332" i="1" a="1"/>
  <c r="E332" i="1" s="1"/>
  <c r="F332" i="1"/>
  <c r="G332" i="1"/>
  <c r="H332" i="1"/>
  <c r="J332" i="1" s="1" a="1"/>
  <c r="J332" i="1" s="1"/>
  <c r="I332" i="1"/>
  <c r="C333" i="1"/>
  <c r="D333" i="1"/>
  <c r="E333" i="1" a="1"/>
  <c r="E333" i="1"/>
  <c r="F333" i="1"/>
  <c r="G333" i="1"/>
  <c r="H333" i="1"/>
  <c r="I333" i="1"/>
  <c r="C334" i="1"/>
  <c r="D334" i="1"/>
  <c r="E334" i="1" a="1"/>
  <c r="E334" i="1"/>
  <c r="F334" i="1"/>
  <c r="G334" i="1"/>
  <c r="H334" i="1"/>
  <c r="J334" i="1" s="1" a="1"/>
  <c r="I334" i="1"/>
  <c r="J334" i="1"/>
  <c r="B335" i="1" a="1"/>
  <c r="B335" i="1" s="1"/>
  <c r="C335" i="1"/>
  <c r="D335" i="1"/>
  <c r="E335" i="1" a="1"/>
  <c r="E335" i="1" s="1"/>
  <c r="F335" i="1"/>
  <c r="G335" i="1"/>
  <c r="H335" i="1"/>
  <c r="J335" i="1" s="1" a="1"/>
  <c r="I335" i="1"/>
  <c r="J335" i="1"/>
  <c r="C336" i="1"/>
  <c r="D336" i="1"/>
  <c r="E336" i="1" a="1"/>
  <c r="E336" i="1"/>
  <c r="F336" i="1"/>
  <c r="G336" i="1"/>
  <c r="H336" i="1"/>
  <c r="I336" i="1"/>
  <c r="C337" i="1"/>
  <c r="D337" i="1"/>
  <c r="E337" i="1" a="1"/>
  <c r="E337" i="1"/>
  <c r="F337" i="1"/>
  <c r="G337" i="1"/>
  <c r="H337" i="1"/>
  <c r="J337" i="1" s="1" a="1"/>
  <c r="J337" i="1" s="1"/>
  <c r="I337" i="1"/>
  <c r="C338" i="1"/>
  <c r="D338" i="1"/>
  <c r="E338" i="1" a="1"/>
  <c r="E338" i="1"/>
  <c r="F338" i="1"/>
  <c r="G338" i="1"/>
  <c r="H338" i="1"/>
  <c r="J338" i="1" s="1" a="1"/>
  <c r="I338" i="1"/>
  <c r="J338" i="1"/>
  <c r="C339" i="1"/>
  <c r="D339" i="1"/>
  <c r="E339" i="1" a="1"/>
  <c r="E339" i="1" s="1"/>
  <c r="F339" i="1"/>
  <c r="G339" i="1"/>
  <c r="H339" i="1"/>
  <c r="I339" i="1"/>
  <c r="B340" i="1" a="1"/>
  <c r="B340" i="1" s="1"/>
  <c r="C340" i="1"/>
  <c r="D340" i="1"/>
  <c r="E340" i="1" a="1"/>
  <c r="E340" i="1"/>
  <c r="F340" i="1"/>
  <c r="G340" i="1"/>
  <c r="H340" i="1"/>
  <c r="J340" i="1" s="1" a="1"/>
  <c r="J340" i="1" s="1"/>
  <c r="I340" i="1"/>
  <c r="B341" i="1" a="1"/>
  <c r="B341" i="1" s="1"/>
  <c r="C341" i="1"/>
  <c r="D341" i="1"/>
  <c r="E341" i="1" a="1"/>
  <c r="E341" i="1"/>
  <c r="F341" i="1"/>
  <c r="G341" i="1"/>
  <c r="H341" i="1"/>
  <c r="J341" i="1" s="1" a="1"/>
  <c r="J341" i="1" s="1"/>
  <c r="I341" i="1"/>
  <c r="B342" i="1" a="1"/>
  <c r="B342" i="1" s="1"/>
  <c r="C342" i="1"/>
  <c r="D342" i="1"/>
  <c r="E342" i="1" a="1"/>
  <c r="E342" i="1"/>
  <c r="F342" i="1"/>
  <c r="G342" i="1"/>
  <c r="H342" i="1"/>
  <c r="J342" i="1" s="1" a="1"/>
  <c r="I342" i="1"/>
  <c r="J342" i="1"/>
  <c r="B343" i="1" a="1"/>
  <c r="B343" i="1" s="1"/>
  <c r="C343" i="1"/>
  <c r="D343" i="1"/>
  <c r="E343" i="1" a="1"/>
  <c r="E343" i="1"/>
  <c r="F343" i="1"/>
  <c r="G343" i="1"/>
  <c r="H343" i="1"/>
  <c r="J343" i="1" s="1" a="1"/>
  <c r="I343" i="1"/>
  <c r="J343" i="1"/>
  <c r="B344" i="1" a="1"/>
  <c r="B344" i="1" s="1"/>
  <c r="C344" i="1"/>
  <c r="D344" i="1"/>
  <c r="E344" i="1" a="1"/>
  <c r="E344" i="1"/>
  <c r="F344" i="1"/>
  <c r="G344" i="1"/>
  <c r="H344" i="1"/>
  <c r="J344" i="1" s="1" a="1"/>
  <c r="I344" i="1"/>
  <c r="J344" i="1"/>
  <c r="B345" i="1" a="1"/>
  <c r="B345" i="1" s="1"/>
  <c r="C345" i="1"/>
  <c r="D345" i="1"/>
  <c r="E345" i="1" a="1"/>
  <c r="E345" i="1"/>
  <c r="F345" i="1"/>
  <c r="G345" i="1"/>
  <c r="H345" i="1"/>
  <c r="J345" i="1" s="1" a="1"/>
  <c r="I345" i="1"/>
  <c r="J345" i="1"/>
  <c r="B346" i="1" a="1"/>
  <c r="B346" i="1" s="1"/>
  <c r="C346" i="1"/>
  <c r="D346" i="1"/>
  <c r="E346" i="1" a="1"/>
  <c r="E346" i="1"/>
  <c r="F346" i="1"/>
  <c r="G346" i="1"/>
  <c r="H346" i="1"/>
  <c r="J346" i="1" s="1" a="1"/>
  <c r="J346" i="1" s="1"/>
  <c r="I346" i="1"/>
  <c r="B347" i="1" a="1"/>
  <c r="B347" i="1" s="1"/>
  <c r="C347" i="1"/>
  <c r="D347" i="1"/>
  <c r="E347" i="1" a="1"/>
  <c r="E347" i="1"/>
  <c r="F347" i="1"/>
  <c r="G347" i="1"/>
  <c r="H347" i="1"/>
  <c r="J347" i="1" s="1" a="1"/>
  <c r="J347" i="1" s="1"/>
  <c r="I347" i="1"/>
  <c r="B348" i="1" a="1"/>
  <c r="B348" i="1" s="1"/>
  <c r="C348" i="1"/>
  <c r="D348" i="1"/>
  <c r="E348" i="1" a="1"/>
  <c r="E348" i="1"/>
  <c r="F348" i="1"/>
  <c r="G348" i="1"/>
  <c r="H348" i="1"/>
  <c r="J348" i="1" s="1" a="1"/>
  <c r="I348" i="1"/>
  <c r="J348" i="1"/>
  <c r="B349" i="1" a="1"/>
  <c r="B349" i="1" s="1"/>
  <c r="C349" i="1"/>
  <c r="D349" i="1"/>
  <c r="E349" i="1" a="1"/>
  <c r="E349" i="1"/>
  <c r="F349" i="1"/>
  <c r="G349" i="1"/>
  <c r="H349" i="1"/>
  <c r="J349" i="1" s="1" a="1"/>
  <c r="I349" i="1"/>
  <c r="J349" i="1"/>
  <c r="B350" i="1" a="1"/>
  <c r="B350" i="1" s="1"/>
  <c r="C350" i="1"/>
  <c r="D350" i="1"/>
  <c r="E350" i="1" a="1"/>
  <c r="E350" i="1" s="1"/>
  <c r="F350" i="1"/>
  <c r="G350" i="1"/>
  <c r="H350" i="1"/>
  <c r="J350" i="1" s="1" a="1"/>
  <c r="I350" i="1"/>
  <c r="J350" i="1"/>
  <c r="B351" i="1" a="1"/>
  <c r="B351" i="1" s="1"/>
  <c r="C351" i="1"/>
  <c r="D351" i="1"/>
  <c r="E351" i="1" a="1"/>
  <c r="E351" i="1" s="1"/>
  <c r="F351" i="1"/>
  <c r="G351" i="1"/>
  <c r="H351" i="1"/>
  <c r="J351" i="1" s="1" a="1"/>
  <c r="I351" i="1"/>
  <c r="J351" i="1"/>
  <c r="B352" i="1" a="1"/>
  <c r="B352" i="1" s="1"/>
  <c r="C352" i="1"/>
  <c r="D352" i="1"/>
  <c r="E352" i="1" a="1"/>
  <c r="E352" i="1"/>
  <c r="F352" i="1"/>
  <c r="G352" i="1"/>
  <c r="H352" i="1"/>
  <c r="J352" i="1" s="1" a="1"/>
  <c r="J352" i="1" s="1"/>
  <c r="I352" i="1"/>
  <c r="B353" i="1" a="1"/>
  <c r="B353" i="1" s="1"/>
  <c r="C353" i="1"/>
  <c r="D353" i="1"/>
  <c r="E353" i="1" a="1"/>
  <c r="E353" i="1"/>
  <c r="F353" i="1"/>
  <c r="G353" i="1"/>
  <c r="H353" i="1"/>
  <c r="J353" i="1" s="1" a="1"/>
  <c r="J353" i="1" s="1"/>
  <c r="I353" i="1"/>
  <c r="B354" i="1" a="1"/>
  <c r="B354" i="1" s="1"/>
  <c r="C354" i="1"/>
  <c r="D354" i="1"/>
  <c r="E354" i="1" a="1"/>
  <c r="E354" i="1"/>
  <c r="F354" i="1"/>
  <c r="G354" i="1"/>
  <c r="H354" i="1"/>
  <c r="J354" i="1" s="1" a="1"/>
  <c r="I354" i="1"/>
  <c r="J354" i="1"/>
  <c r="B355" i="1" a="1"/>
  <c r="B355" i="1" s="1"/>
  <c r="C355" i="1"/>
  <c r="D355" i="1"/>
  <c r="E355" i="1" a="1"/>
  <c r="E355" i="1"/>
  <c r="F355" i="1"/>
  <c r="G355" i="1"/>
  <c r="H355" i="1"/>
  <c r="J355" i="1" s="1" a="1"/>
  <c r="I355" i="1"/>
  <c r="J355" i="1"/>
  <c r="B356" i="1" a="1"/>
  <c r="B356" i="1" s="1"/>
  <c r="C356" i="1"/>
  <c r="D356" i="1"/>
  <c r="E356" i="1" a="1"/>
  <c r="E356" i="1" s="1"/>
  <c r="F356" i="1"/>
  <c r="G356" i="1"/>
  <c r="H356" i="1"/>
  <c r="J356" i="1" s="1" a="1"/>
  <c r="I356" i="1"/>
  <c r="J356" i="1"/>
  <c r="B357" i="1" a="1"/>
  <c r="B357" i="1" s="1"/>
  <c r="C357" i="1"/>
  <c r="D357" i="1"/>
  <c r="E357" i="1" a="1"/>
  <c r="E357" i="1" s="1"/>
  <c r="F357" i="1"/>
  <c r="G357" i="1"/>
  <c r="H357" i="1"/>
  <c r="J357" i="1" s="1" a="1"/>
  <c r="I357" i="1"/>
  <c r="J357" i="1"/>
  <c r="B358" i="1" a="1"/>
  <c r="B358" i="1" s="1"/>
  <c r="C358" i="1"/>
  <c r="D358" i="1"/>
  <c r="E358" i="1" a="1"/>
  <c r="E358" i="1"/>
  <c r="F358" i="1"/>
  <c r="G358" i="1"/>
  <c r="H358" i="1"/>
  <c r="J358" i="1" s="1" a="1"/>
  <c r="J358" i="1" s="1"/>
  <c r="I358" i="1"/>
  <c r="B359" i="1" a="1"/>
  <c r="B359" i="1" s="1"/>
  <c r="C359" i="1"/>
  <c r="D359" i="1"/>
  <c r="E359" i="1" a="1"/>
  <c r="E359" i="1"/>
  <c r="F359" i="1"/>
  <c r="G359" i="1"/>
  <c r="H359" i="1"/>
  <c r="J359" i="1" s="1" a="1"/>
  <c r="J359" i="1" s="1"/>
  <c r="I359" i="1"/>
  <c r="B360" i="1" a="1"/>
  <c r="B360" i="1" s="1"/>
  <c r="C360" i="1"/>
  <c r="D360" i="1"/>
  <c r="E360" i="1" a="1"/>
  <c r="E360" i="1"/>
  <c r="F360" i="1"/>
  <c r="G360" i="1"/>
  <c r="H360" i="1"/>
  <c r="J360" i="1" s="1" a="1"/>
  <c r="I360" i="1"/>
  <c r="J360" i="1"/>
  <c r="B361" i="1" a="1"/>
  <c r="B361" i="1" s="1"/>
  <c r="C361" i="1"/>
  <c r="D361" i="1"/>
  <c r="E361" i="1" a="1"/>
  <c r="E361" i="1"/>
  <c r="F361" i="1"/>
  <c r="G361" i="1"/>
  <c r="H361" i="1"/>
  <c r="J361" i="1" s="1" a="1"/>
  <c r="I361" i="1"/>
  <c r="J361" i="1"/>
  <c r="B362" i="1" a="1"/>
  <c r="B362" i="1" s="1"/>
  <c r="C362" i="1"/>
  <c r="D362" i="1"/>
  <c r="E362" i="1" a="1"/>
  <c r="E362" i="1" s="1"/>
  <c r="F362" i="1"/>
  <c r="G362" i="1"/>
  <c r="H362" i="1"/>
  <c r="J362" i="1" s="1" a="1"/>
  <c r="I362" i="1"/>
  <c r="J362" i="1"/>
  <c r="B363" i="1" a="1"/>
  <c r="B363" i="1" s="1"/>
  <c r="C363" i="1"/>
  <c r="D363" i="1"/>
  <c r="E363" i="1" a="1"/>
  <c r="E363" i="1" s="1"/>
  <c r="F363" i="1"/>
  <c r="G363" i="1"/>
  <c r="H363" i="1"/>
  <c r="J363" i="1" s="1" a="1"/>
  <c r="I363" i="1"/>
  <c r="J363" i="1"/>
  <c r="B364" i="1" a="1"/>
  <c r="B364" i="1" s="1"/>
  <c r="C364" i="1"/>
  <c r="D364" i="1"/>
  <c r="E364" i="1" a="1"/>
  <c r="E364" i="1"/>
  <c r="F364" i="1"/>
  <c r="G364" i="1"/>
  <c r="H364" i="1"/>
  <c r="J364" i="1" s="1" a="1"/>
  <c r="J364" i="1" s="1"/>
  <c r="I364" i="1"/>
  <c r="B365" i="1" a="1"/>
  <c r="B365" i="1" s="1"/>
  <c r="C365" i="1"/>
  <c r="D365" i="1"/>
  <c r="E365" i="1" a="1"/>
  <c r="E365" i="1"/>
  <c r="F365" i="1"/>
  <c r="G365" i="1"/>
  <c r="H365" i="1"/>
  <c r="J365" i="1" s="1" a="1"/>
  <c r="J365" i="1" s="1"/>
  <c r="I365" i="1"/>
  <c r="B366" i="1" a="1"/>
  <c r="B366" i="1" s="1"/>
  <c r="C366" i="1"/>
  <c r="D366" i="1"/>
  <c r="E366" i="1" a="1"/>
  <c r="E366" i="1"/>
  <c r="F366" i="1"/>
  <c r="G366" i="1"/>
  <c r="H366" i="1"/>
  <c r="J366" i="1" s="1" a="1"/>
  <c r="I366" i="1"/>
  <c r="J366" i="1"/>
  <c r="B367" i="1" a="1"/>
  <c r="B367" i="1" s="1"/>
  <c r="C367" i="1"/>
  <c r="D367" i="1"/>
  <c r="E367" i="1" a="1"/>
  <c r="E367" i="1"/>
  <c r="F367" i="1"/>
  <c r="G367" i="1"/>
  <c r="H367" i="1"/>
  <c r="J367" i="1" s="1" a="1"/>
  <c r="I367" i="1"/>
  <c r="J367" i="1"/>
  <c r="B368" i="1" a="1"/>
  <c r="B368" i="1" s="1"/>
  <c r="C368" i="1"/>
  <c r="D368" i="1"/>
  <c r="E368" i="1" a="1"/>
  <c r="E368" i="1" s="1"/>
  <c r="F368" i="1"/>
  <c r="G368" i="1"/>
  <c r="H368" i="1"/>
  <c r="J368" i="1" s="1" a="1"/>
  <c r="I368" i="1"/>
  <c r="J368" i="1"/>
  <c r="B369" i="1" a="1"/>
  <c r="B369" i="1" s="1"/>
  <c r="C369" i="1"/>
  <c r="D369" i="1"/>
  <c r="E369" i="1" a="1"/>
  <c r="E369" i="1" s="1"/>
  <c r="F369" i="1"/>
  <c r="G369" i="1"/>
  <c r="H369" i="1"/>
  <c r="J369" i="1" s="1" a="1"/>
  <c r="I369" i="1"/>
  <c r="J369" i="1"/>
  <c r="B370" i="1" a="1"/>
  <c r="B370" i="1" s="1"/>
  <c r="C370" i="1"/>
  <c r="D370" i="1"/>
  <c r="E370" i="1" a="1"/>
  <c r="E370" i="1"/>
  <c r="F370" i="1"/>
  <c r="G370" i="1"/>
  <c r="H370" i="1"/>
  <c r="J370" i="1" s="1" a="1"/>
  <c r="J370" i="1" s="1"/>
  <c r="I370" i="1"/>
  <c r="B371" i="1" a="1"/>
  <c r="B371" i="1" s="1"/>
  <c r="C371" i="1"/>
  <c r="D371" i="1"/>
  <c r="E371" i="1" a="1"/>
  <c r="E371" i="1"/>
  <c r="F371" i="1"/>
  <c r="G371" i="1"/>
  <c r="H371" i="1"/>
  <c r="J371" i="1" s="1" a="1"/>
  <c r="J371" i="1" s="1"/>
  <c r="I371" i="1"/>
  <c r="B372" i="1" a="1"/>
  <c r="B372" i="1" s="1"/>
  <c r="C372" i="1"/>
  <c r="D372" i="1"/>
  <c r="E372" i="1" a="1"/>
  <c r="E372" i="1"/>
  <c r="F372" i="1"/>
  <c r="G372" i="1"/>
  <c r="H372" i="1"/>
  <c r="J372" i="1" s="1" a="1"/>
  <c r="I372" i="1"/>
  <c r="J372" i="1"/>
  <c r="B373" i="1" a="1"/>
  <c r="B373" i="1" s="1"/>
  <c r="C373" i="1"/>
  <c r="D373" i="1"/>
  <c r="E373" i="1" a="1"/>
  <c r="E373" i="1"/>
  <c r="F373" i="1"/>
  <c r="G373" i="1"/>
  <c r="H373" i="1"/>
  <c r="J373" i="1" s="1" a="1"/>
  <c r="I373" i="1"/>
  <c r="J373" i="1"/>
  <c r="B374" i="1" a="1"/>
  <c r="B374" i="1" s="1"/>
  <c r="C374" i="1"/>
  <c r="D374" i="1"/>
  <c r="E374" i="1" a="1"/>
  <c r="E374" i="1" s="1"/>
  <c r="F374" i="1"/>
  <c r="G374" i="1"/>
  <c r="H374" i="1"/>
  <c r="J374" i="1" s="1" a="1"/>
  <c r="I374" i="1"/>
  <c r="J374" i="1"/>
  <c r="B375" i="1" a="1"/>
  <c r="B375" i="1" s="1"/>
  <c r="C375" i="1"/>
  <c r="D375" i="1"/>
  <c r="E375" i="1" a="1"/>
  <c r="E375" i="1" s="1"/>
  <c r="F375" i="1"/>
  <c r="G375" i="1"/>
  <c r="H375" i="1"/>
  <c r="J375" i="1" s="1" a="1"/>
  <c r="I375" i="1"/>
  <c r="J375" i="1"/>
  <c r="B376" i="1" a="1"/>
  <c r="B376" i="1" s="1"/>
  <c r="C376" i="1"/>
  <c r="D376" i="1"/>
  <c r="E376" i="1" a="1"/>
  <c r="E376" i="1"/>
  <c r="F376" i="1"/>
  <c r="G376" i="1"/>
  <c r="H376" i="1"/>
  <c r="J376" i="1" s="1" a="1"/>
  <c r="J376" i="1" s="1"/>
  <c r="I376" i="1"/>
  <c r="B377" i="1" a="1"/>
  <c r="B377" i="1" s="1"/>
  <c r="C377" i="1"/>
  <c r="D377" i="1"/>
  <c r="E377" i="1" a="1"/>
  <c r="E377" i="1"/>
  <c r="F377" i="1"/>
  <c r="G377" i="1"/>
  <c r="H377" i="1"/>
  <c r="J377" i="1" s="1" a="1"/>
  <c r="J377" i="1" s="1"/>
  <c r="I377" i="1"/>
  <c r="B378" i="1" a="1"/>
  <c r="B378" i="1" s="1"/>
  <c r="C378" i="1"/>
  <c r="D378" i="1"/>
  <c r="E378" i="1" a="1"/>
  <c r="E378" i="1"/>
  <c r="F378" i="1"/>
  <c r="G378" i="1"/>
  <c r="H378" i="1"/>
  <c r="J378" i="1" s="1" a="1"/>
  <c r="I378" i="1"/>
  <c r="J378" i="1"/>
  <c r="B379" i="1" a="1"/>
  <c r="B379" i="1" s="1"/>
  <c r="C379" i="1"/>
  <c r="D379" i="1"/>
  <c r="E379" i="1" a="1"/>
  <c r="E379" i="1"/>
  <c r="F379" i="1"/>
  <c r="G379" i="1"/>
  <c r="H379" i="1"/>
  <c r="J379" i="1" s="1" a="1"/>
  <c r="I379" i="1"/>
  <c r="J379" i="1"/>
  <c r="B380" i="1" a="1"/>
  <c r="B380" i="1" s="1"/>
  <c r="C380" i="1"/>
  <c r="D380" i="1"/>
  <c r="E380" i="1" a="1"/>
  <c r="E380" i="1" s="1"/>
  <c r="F380" i="1"/>
  <c r="G380" i="1"/>
  <c r="H380" i="1"/>
  <c r="J380" i="1" s="1" a="1"/>
  <c r="I380" i="1"/>
  <c r="J380" i="1"/>
  <c r="B381" i="1" a="1"/>
  <c r="B381" i="1" s="1"/>
  <c r="C381" i="1"/>
  <c r="D381" i="1"/>
  <c r="E381" i="1" a="1"/>
  <c r="E381" i="1" s="1"/>
  <c r="F381" i="1"/>
  <c r="G381" i="1"/>
  <c r="H381" i="1"/>
  <c r="J381" i="1" s="1" a="1"/>
  <c r="I381" i="1"/>
  <c r="J381" i="1"/>
  <c r="B382" i="1" a="1"/>
  <c r="B382" i="1" s="1"/>
  <c r="C382" i="1"/>
  <c r="D382" i="1"/>
  <c r="E382" i="1" a="1"/>
  <c r="E382" i="1"/>
  <c r="F382" i="1"/>
  <c r="G382" i="1"/>
  <c r="H382" i="1"/>
  <c r="J382" i="1" s="1" a="1"/>
  <c r="J382" i="1" s="1"/>
  <c r="I382" i="1"/>
  <c r="B383" i="1" a="1"/>
  <c r="B383" i="1" s="1"/>
  <c r="C383" i="1"/>
  <c r="D383" i="1"/>
  <c r="E383" i="1" a="1"/>
  <c r="E383" i="1"/>
  <c r="F383" i="1"/>
  <c r="G383" i="1"/>
  <c r="H383" i="1"/>
  <c r="J383" i="1" s="1" a="1"/>
  <c r="J383" i="1" s="1"/>
  <c r="I383" i="1"/>
  <c r="B384" i="1" a="1"/>
  <c r="B384" i="1" s="1"/>
  <c r="C384" i="1"/>
  <c r="D384" i="1"/>
  <c r="E384" i="1" a="1"/>
  <c r="E384" i="1"/>
  <c r="F384" i="1"/>
  <c r="G384" i="1"/>
  <c r="H384" i="1"/>
  <c r="J384" i="1" s="1" a="1"/>
  <c r="I384" i="1"/>
  <c r="J384" i="1"/>
  <c r="B385" i="1" a="1"/>
  <c r="B385" i="1" s="1"/>
  <c r="C385" i="1"/>
  <c r="D385" i="1"/>
  <c r="E385" i="1" a="1"/>
  <c r="E385" i="1"/>
  <c r="F385" i="1"/>
  <c r="G385" i="1"/>
  <c r="H385" i="1"/>
  <c r="J385" i="1" s="1" a="1"/>
  <c r="I385" i="1"/>
  <c r="J385" i="1"/>
  <c r="B386" i="1" a="1"/>
  <c r="B386" i="1" s="1"/>
  <c r="C386" i="1"/>
  <c r="D386" i="1"/>
  <c r="E386" i="1" a="1"/>
  <c r="E386" i="1" s="1"/>
  <c r="F386" i="1"/>
  <c r="G386" i="1"/>
  <c r="H386" i="1"/>
  <c r="J386" i="1" s="1" a="1"/>
  <c r="I386" i="1"/>
  <c r="J386" i="1"/>
  <c r="B387" i="1" a="1"/>
  <c r="B387" i="1" s="1"/>
  <c r="C387" i="1"/>
  <c r="D387" i="1"/>
  <c r="E387" i="1" a="1"/>
  <c r="E387" i="1" s="1"/>
  <c r="F387" i="1"/>
  <c r="G387" i="1"/>
  <c r="H387" i="1"/>
  <c r="J387" i="1" s="1" a="1"/>
  <c r="I387" i="1"/>
  <c r="J387" i="1"/>
  <c r="B388" i="1" a="1"/>
  <c r="B388" i="1" s="1"/>
  <c r="C388" i="1"/>
  <c r="D388" i="1"/>
  <c r="E388" i="1" a="1"/>
  <c r="E388" i="1"/>
  <c r="F388" i="1"/>
  <c r="G388" i="1"/>
  <c r="H388" i="1"/>
  <c r="J388" i="1" s="1" a="1"/>
  <c r="J388" i="1" s="1"/>
  <c r="I388" i="1"/>
  <c r="B389" i="1" a="1"/>
  <c r="B389" i="1" s="1"/>
  <c r="C389" i="1"/>
  <c r="D389" i="1"/>
  <c r="E389" i="1" a="1"/>
  <c r="E389" i="1"/>
  <c r="F389" i="1"/>
  <c r="G389" i="1"/>
  <c r="H389" i="1"/>
  <c r="J389" i="1" s="1" a="1"/>
  <c r="J389" i="1" s="1"/>
  <c r="I389" i="1"/>
  <c r="B390" i="1" a="1"/>
  <c r="B390" i="1" s="1"/>
  <c r="C390" i="1"/>
  <c r="D390" i="1"/>
  <c r="E390" i="1" a="1"/>
  <c r="E390" i="1"/>
  <c r="F390" i="1"/>
  <c r="G390" i="1"/>
  <c r="H390" i="1"/>
  <c r="J390" i="1" s="1" a="1"/>
  <c r="I390" i="1"/>
  <c r="J390" i="1"/>
  <c r="B391" i="1" a="1"/>
  <c r="B391" i="1" s="1"/>
  <c r="C391" i="1"/>
  <c r="D391" i="1"/>
  <c r="E391" i="1" a="1"/>
  <c r="E391" i="1"/>
  <c r="F391" i="1"/>
  <c r="G391" i="1"/>
  <c r="H391" i="1"/>
  <c r="J391" i="1" s="1" a="1"/>
  <c r="I391" i="1"/>
  <c r="J391" i="1"/>
  <c r="B392" i="1" a="1"/>
  <c r="B392" i="1" s="1"/>
  <c r="C392" i="1"/>
  <c r="D392" i="1"/>
  <c r="E392" i="1" a="1"/>
  <c r="E392" i="1" s="1"/>
  <c r="F392" i="1"/>
  <c r="G392" i="1"/>
  <c r="H392" i="1"/>
  <c r="J392" i="1" s="1" a="1"/>
  <c r="I392" i="1"/>
  <c r="J392" i="1"/>
  <c r="B393" i="1" a="1"/>
  <c r="B393" i="1" s="1"/>
  <c r="C393" i="1"/>
  <c r="D393" i="1"/>
  <c r="E393" i="1" a="1"/>
  <c r="E393" i="1" s="1"/>
  <c r="F393" i="1"/>
  <c r="G393" i="1"/>
  <c r="H393" i="1"/>
  <c r="J393" i="1" s="1" a="1"/>
  <c r="I393" i="1"/>
  <c r="J393" i="1"/>
  <c r="B394" i="1" a="1"/>
  <c r="B394" i="1" s="1"/>
  <c r="C394" i="1"/>
  <c r="D394" i="1"/>
  <c r="E394" i="1" a="1"/>
  <c r="E394" i="1"/>
  <c r="F394" i="1"/>
  <c r="G394" i="1"/>
  <c r="H394" i="1"/>
  <c r="J394" i="1" s="1" a="1"/>
  <c r="J394" i="1" s="1"/>
  <c r="I394" i="1"/>
  <c r="B395" i="1" a="1"/>
  <c r="B395" i="1" s="1"/>
  <c r="C395" i="1"/>
  <c r="D395" i="1"/>
  <c r="E395" i="1" a="1"/>
  <c r="E395" i="1"/>
  <c r="F395" i="1"/>
  <c r="G395" i="1"/>
  <c r="H395" i="1"/>
  <c r="J395" i="1" s="1" a="1"/>
  <c r="J395" i="1" s="1"/>
  <c r="I395" i="1"/>
  <c r="B396" i="1" a="1"/>
  <c r="B396" i="1" s="1"/>
  <c r="C396" i="1"/>
  <c r="D396" i="1"/>
  <c r="E396" i="1" a="1"/>
  <c r="E396" i="1"/>
  <c r="F396" i="1"/>
  <c r="G396" i="1"/>
  <c r="H396" i="1"/>
  <c r="J396" i="1" s="1" a="1"/>
  <c r="I396" i="1"/>
  <c r="J396" i="1"/>
  <c r="B397" i="1" a="1"/>
  <c r="B397" i="1" s="1"/>
  <c r="C397" i="1"/>
  <c r="D397" i="1"/>
  <c r="E397" i="1" a="1"/>
  <c r="E397" i="1"/>
  <c r="F397" i="1"/>
  <c r="G397" i="1"/>
  <c r="H397" i="1"/>
  <c r="J397" i="1" s="1" a="1"/>
  <c r="I397" i="1"/>
  <c r="J397" i="1"/>
  <c r="B398" i="1" a="1"/>
  <c r="B398" i="1" s="1"/>
  <c r="C398" i="1"/>
  <c r="D398" i="1"/>
  <c r="E398" i="1" a="1"/>
  <c r="E398" i="1" s="1"/>
  <c r="F398" i="1"/>
  <c r="G398" i="1"/>
  <c r="H398" i="1"/>
  <c r="J398" i="1" s="1" a="1"/>
  <c r="I398" i="1"/>
  <c r="J398" i="1"/>
  <c r="B399" i="1" a="1"/>
  <c r="B399" i="1" s="1"/>
  <c r="C399" i="1"/>
  <c r="D399" i="1"/>
  <c r="E399" i="1" a="1"/>
  <c r="E399" i="1" s="1"/>
  <c r="F399" i="1"/>
  <c r="G399" i="1"/>
  <c r="H399" i="1"/>
  <c r="J399" i="1" s="1" a="1"/>
  <c r="I399" i="1"/>
  <c r="J399" i="1"/>
  <c r="B400" i="1" a="1"/>
  <c r="B400" i="1" s="1"/>
  <c r="C400" i="1"/>
  <c r="D400" i="1"/>
  <c r="E400" i="1" a="1"/>
  <c r="E400" i="1"/>
  <c r="F400" i="1"/>
  <c r="G400" i="1"/>
  <c r="H400" i="1"/>
  <c r="J400" i="1" s="1" a="1"/>
  <c r="J400" i="1" s="1"/>
  <c r="I400" i="1"/>
  <c r="B401" i="1" a="1"/>
  <c r="B401" i="1" s="1"/>
  <c r="C401" i="1"/>
  <c r="D401" i="1"/>
  <c r="E401" i="1" a="1"/>
  <c r="E401" i="1"/>
  <c r="F401" i="1"/>
  <c r="G401" i="1"/>
  <c r="H401" i="1"/>
  <c r="J401" i="1" s="1" a="1"/>
  <c r="J401" i="1" s="1"/>
  <c r="I401" i="1"/>
  <c r="B402" i="1" a="1"/>
  <c r="B402" i="1" s="1"/>
  <c r="C402" i="1"/>
  <c r="D402" i="1"/>
  <c r="E402" i="1" a="1"/>
  <c r="E402" i="1"/>
  <c r="F402" i="1"/>
  <c r="G402" i="1"/>
  <c r="H402" i="1"/>
  <c r="J402" i="1" s="1" a="1"/>
  <c r="I402" i="1"/>
  <c r="J402" i="1"/>
  <c r="B403" i="1" a="1"/>
  <c r="B403" i="1" s="1"/>
  <c r="C403" i="1"/>
  <c r="D403" i="1"/>
  <c r="E403" i="1" a="1"/>
  <c r="E403" i="1"/>
  <c r="F403" i="1"/>
  <c r="G403" i="1"/>
  <c r="H403" i="1"/>
  <c r="J403" i="1" s="1" a="1"/>
  <c r="I403" i="1"/>
  <c r="J403" i="1"/>
  <c r="B404" i="1" a="1"/>
  <c r="B404" i="1" s="1"/>
  <c r="C404" i="1"/>
  <c r="D404" i="1"/>
  <c r="E404" i="1" a="1"/>
  <c r="E404" i="1" s="1"/>
  <c r="F404" i="1"/>
  <c r="G404" i="1"/>
  <c r="H404" i="1"/>
  <c r="J404" i="1" s="1" a="1"/>
  <c r="I404" i="1"/>
  <c r="J404" i="1"/>
  <c r="B405" i="1" a="1"/>
  <c r="B405" i="1" s="1"/>
  <c r="C405" i="1"/>
  <c r="D405" i="1"/>
  <c r="E405" i="1" a="1"/>
  <c r="E405" i="1" s="1"/>
  <c r="F405" i="1"/>
  <c r="G405" i="1"/>
  <c r="H405" i="1"/>
  <c r="J405" i="1" s="1" a="1"/>
  <c r="I405" i="1"/>
  <c r="J405" i="1"/>
  <c r="B406" i="1" a="1"/>
  <c r="B406" i="1" s="1"/>
  <c r="C406" i="1"/>
  <c r="D406" i="1"/>
  <c r="E406" i="1" a="1"/>
  <c r="E406" i="1"/>
  <c r="F406" i="1"/>
  <c r="G406" i="1"/>
  <c r="H406" i="1"/>
  <c r="J406" i="1" s="1" a="1"/>
  <c r="J406" i="1" s="1"/>
  <c r="I406" i="1"/>
  <c r="C407" i="1"/>
  <c r="D407" i="1"/>
  <c r="E407" i="1" a="1"/>
  <c r="E407" i="1"/>
  <c r="F407" i="1"/>
  <c r="G407" i="1"/>
  <c r="H407" i="1"/>
  <c r="J407" i="1" s="1" a="1"/>
  <c r="J407" i="1" s="1"/>
  <c r="I407" i="1"/>
  <c r="C408" i="1"/>
  <c r="D408" i="1"/>
  <c r="E408" i="1" a="1"/>
  <c r="E408" i="1"/>
  <c r="F408" i="1"/>
  <c r="G408" i="1"/>
  <c r="H408" i="1"/>
  <c r="J408" i="1" s="1" a="1"/>
  <c r="I408" i="1"/>
  <c r="J408" i="1"/>
  <c r="C409" i="1"/>
  <c r="D409" i="1"/>
  <c r="E409" i="1" a="1"/>
  <c r="E409" i="1"/>
  <c r="F409" i="1"/>
  <c r="G409" i="1"/>
  <c r="H409" i="1"/>
  <c r="J409" i="1" s="1" a="1"/>
  <c r="I409" i="1"/>
  <c r="J409" i="1"/>
  <c r="B410" i="1" a="1"/>
  <c r="B410" i="1" s="1"/>
  <c r="C410" i="1"/>
  <c r="D410" i="1"/>
  <c r="E410" i="1" a="1"/>
  <c r="E410" i="1" s="1"/>
  <c r="F410" i="1"/>
  <c r="G410" i="1"/>
  <c r="H410" i="1"/>
  <c r="J410" i="1" s="1" a="1"/>
  <c r="I410" i="1"/>
  <c r="J410" i="1"/>
  <c r="B411" i="1" a="1"/>
  <c r="B411" i="1" s="1"/>
  <c r="C411" i="1"/>
  <c r="D411" i="1"/>
  <c r="E411" i="1" a="1"/>
  <c r="E411" i="1" s="1"/>
  <c r="F411" i="1"/>
  <c r="G411" i="1"/>
  <c r="H411" i="1"/>
  <c r="J411" i="1" s="1" a="1"/>
  <c r="I411" i="1"/>
  <c r="J411" i="1"/>
  <c r="B412" i="1" a="1"/>
  <c r="B412" i="1" s="1"/>
  <c r="C412" i="1"/>
  <c r="D412" i="1"/>
  <c r="E412" i="1" a="1"/>
  <c r="E412" i="1"/>
  <c r="F412" i="1"/>
  <c r="G412" i="1"/>
  <c r="H412" i="1"/>
  <c r="J412" i="1" s="1" a="1"/>
  <c r="J412" i="1" s="1"/>
  <c r="I412" i="1"/>
  <c r="C413" i="1"/>
  <c r="D413" i="1"/>
  <c r="E413" i="1" a="1"/>
  <c r="E413" i="1"/>
  <c r="F413" i="1"/>
  <c r="G413" i="1"/>
  <c r="H413" i="1"/>
  <c r="J413" i="1" s="1" a="1"/>
  <c r="J413" i="1" s="1"/>
  <c r="I413" i="1"/>
  <c r="C414" i="1"/>
  <c r="D414" i="1"/>
  <c r="E414" i="1" a="1"/>
  <c r="E414" i="1"/>
  <c r="F414" i="1"/>
  <c r="G414" i="1"/>
  <c r="H414" i="1"/>
  <c r="J414" i="1" s="1" a="1"/>
  <c r="I414" i="1"/>
  <c r="J414" i="1"/>
  <c r="C415" i="1"/>
  <c r="D415" i="1"/>
  <c r="E415" i="1" a="1"/>
  <c r="E415" i="1"/>
  <c r="F415" i="1"/>
  <c r="G415" i="1"/>
  <c r="H415" i="1"/>
  <c r="J415" i="1" s="1" a="1"/>
  <c r="I415" i="1"/>
  <c r="J415" i="1"/>
  <c r="B416" i="1" a="1"/>
  <c r="B416" i="1" s="1"/>
  <c r="C416" i="1"/>
  <c r="D416" i="1"/>
  <c r="E416" i="1" a="1"/>
  <c r="E416" i="1" s="1"/>
  <c r="F416" i="1"/>
  <c r="G416" i="1"/>
  <c r="H416" i="1"/>
  <c r="J416" i="1" s="1" a="1"/>
  <c r="I416" i="1"/>
  <c r="J416" i="1"/>
  <c r="B417" i="1" a="1"/>
  <c r="B417" i="1" s="1"/>
  <c r="C417" i="1"/>
  <c r="D417" i="1"/>
  <c r="E417" i="1" a="1"/>
  <c r="E417" i="1" s="1"/>
  <c r="F417" i="1"/>
  <c r="G417" i="1"/>
  <c r="H417" i="1"/>
  <c r="J417" i="1" s="1" a="1"/>
  <c r="I417" i="1"/>
  <c r="J417" i="1"/>
  <c r="C418" i="1"/>
  <c r="D418" i="1"/>
  <c r="E418" i="1" a="1"/>
  <c r="E418" i="1"/>
  <c r="F418" i="1"/>
  <c r="G418" i="1"/>
  <c r="H418" i="1"/>
  <c r="J418" i="1" s="1" a="1"/>
  <c r="J418" i="1" s="1"/>
  <c r="I418" i="1"/>
  <c r="C419" i="1"/>
  <c r="D419" i="1"/>
  <c r="E419" i="1" a="1"/>
  <c r="E419" i="1"/>
  <c r="F419" i="1"/>
  <c r="G419" i="1"/>
  <c r="H419" i="1"/>
  <c r="J419" i="1" s="1" a="1"/>
  <c r="J419" i="1" s="1"/>
  <c r="I419" i="1"/>
  <c r="C420" i="1"/>
  <c r="D420" i="1"/>
  <c r="E420" i="1" a="1"/>
  <c r="E420" i="1" s="1"/>
  <c r="F420" i="1"/>
  <c r="G420" i="1"/>
  <c r="H420" i="1"/>
  <c r="J420" i="1" s="1" a="1"/>
  <c r="I420" i="1"/>
  <c r="J420" i="1"/>
  <c r="C421" i="1"/>
  <c r="D421" i="1"/>
  <c r="E421" i="1" a="1"/>
  <c r="E421" i="1"/>
  <c r="F421" i="1"/>
  <c r="G421" i="1"/>
  <c r="H421" i="1"/>
  <c r="J421" i="1" s="1" a="1"/>
  <c r="I421" i="1"/>
  <c r="J421" i="1"/>
  <c r="B422" i="1" a="1"/>
  <c r="B422" i="1" s="1"/>
  <c r="C422" i="1"/>
  <c r="D422" i="1"/>
  <c r="E422" i="1" a="1"/>
  <c r="E422" i="1" s="1"/>
  <c r="F422" i="1"/>
  <c r="G422" i="1"/>
  <c r="H422" i="1"/>
  <c r="J422" i="1" s="1" a="1"/>
  <c r="I422" i="1"/>
  <c r="J422" i="1"/>
  <c r="B423" i="1" a="1"/>
  <c r="B423" i="1" s="1"/>
  <c r="C423" i="1"/>
  <c r="D423" i="1"/>
  <c r="E423" i="1" a="1"/>
  <c r="E423" i="1" s="1"/>
  <c r="F423" i="1"/>
  <c r="G423" i="1"/>
  <c r="H423" i="1"/>
  <c r="J423" i="1" s="1" a="1"/>
  <c r="I423" i="1"/>
  <c r="J423" i="1"/>
  <c r="C424" i="1"/>
  <c r="D424" i="1"/>
  <c r="E424" i="1" a="1"/>
  <c r="E424" i="1"/>
  <c r="F424" i="1"/>
  <c r="G424" i="1"/>
  <c r="H424" i="1"/>
  <c r="J424" i="1" s="1" a="1"/>
  <c r="J424" i="1" s="1"/>
  <c r="I424" i="1"/>
  <c r="C425" i="1"/>
  <c r="D425" i="1"/>
  <c r="E425" i="1" a="1"/>
  <c r="E425" i="1"/>
  <c r="F425" i="1"/>
  <c r="G425" i="1"/>
  <c r="H425" i="1"/>
  <c r="J425" i="1" s="1" a="1"/>
  <c r="J425" i="1" s="1"/>
  <c r="I425" i="1"/>
  <c r="C426" i="1"/>
  <c r="D426" i="1"/>
  <c r="E426" i="1" a="1"/>
  <c r="E426" i="1"/>
  <c r="F426" i="1"/>
  <c r="G426" i="1"/>
  <c r="H426" i="1"/>
  <c r="B426" i="1" s="1" a="1"/>
  <c r="B426" i="1" s="1"/>
  <c r="I426" i="1"/>
  <c r="J426" i="1" a="1"/>
  <c r="J426" i="1" s="1"/>
  <c r="C427" i="1"/>
  <c r="D427" i="1"/>
  <c r="E427" i="1" a="1"/>
  <c r="E427" i="1"/>
  <c r="F427" i="1"/>
  <c r="G427" i="1"/>
  <c r="H427" i="1"/>
  <c r="J427" i="1" s="1" a="1"/>
  <c r="J427" i="1" s="1"/>
  <c r="I427" i="1"/>
  <c r="C428" i="1"/>
  <c r="D428" i="1"/>
  <c r="E428" i="1" a="1"/>
  <c r="E428" i="1"/>
  <c r="F428" i="1"/>
  <c r="G428" i="1"/>
  <c r="H428" i="1"/>
  <c r="B428" i="1" s="1" a="1"/>
  <c r="B428" i="1" s="1"/>
  <c r="I428" i="1"/>
  <c r="J428" i="1" a="1"/>
  <c r="J428" i="1"/>
  <c r="B429" i="1" a="1"/>
  <c r="B429" i="1" s="1"/>
  <c r="C429" i="1"/>
  <c r="D429" i="1"/>
  <c r="E429" i="1" a="1"/>
  <c r="E429" i="1" s="1"/>
  <c r="F429" i="1"/>
  <c r="G429" i="1"/>
  <c r="H429" i="1"/>
  <c r="I429" i="1"/>
  <c r="J429" i="1" a="1"/>
  <c r="J429" i="1" s="1"/>
  <c r="B430" i="1" a="1"/>
  <c r="B430" i="1" s="1"/>
  <c r="C430" i="1"/>
  <c r="D430" i="1"/>
  <c r="E430" i="1" a="1"/>
  <c r="E430" i="1" s="1"/>
  <c r="F430" i="1"/>
  <c r="G430" i="1"/>
  <c r="H430" i="1"/>
  <c r="I430" i="1"/>
  <c r="J430" i="1" a="1"/>
  <c r="J430" i="1"/>
  <c r="B431" i="1" a="1"/>
  <c r="B431" i="1" s="1"/>
  <c r="C431" i="1"/>
  <c r="D431" i="1"/>
  <c r="E431" i="1" a="1"/>
  <c r="E431" i="1"/>
  <c r="F431" i="1"/>
  <c r="G431" i="1"/>
  <c r="H431" i="1"/>
  <c r="I431" i="1"/>
  <c r="J431" i="1" a="1"/>
  <c r="J431" i="1"/>
  <c r="B432" i="1" a="1"/>
  <c r="B432" i="1" s="1"/>
  <c r="C432" i="1"/>
  <c r="D432" i="1"/>
  <c r="E432" i="1" a="1"/>
  <c r="E432" i="1" s="1"/>
  <c r="F432" i="1"/>
  <c r="G432" i="1"/>
  <c r="H432" i="1"/>
  <c r="I432" i="1"/>
  <c r="J432" i="1" a="1"/>
  <c r="J432" i="1"/>
  <c r="B433" i="1" a="1"/>
  <c r="B433" i="1" s="1"/>
  <c r="C433" i="1"/>
  <c r="D433" i="1"/>
  <c r="E433" i="1" a="1"/>
  <c r="E433" i="1" s="1"/>
  <c r="F433" i="1"/>
  <c r="G433" i="1"/>
  <c r="H433" i="1"/>
  <c r="I433" i="1"/>
  <c r="J433" i="1" a="1"/>
  <c r="J433" i="1"/>
  <c r="C434" i="1"/>
  <c r="D434" i="1"/>
  <c r="E434" i="1" a="1"/>
  <c r="E434" i="1"/>
  <c r="F434" i="1"/>
  <c r="G434" i="1"/>
  <c r="H434" i="1"/>
  <c r="J434" i="1" s="1" a="1"/>
  <c r="J434" i="1" s="1"/>
  <c r="I434" i="1"/>
  <c r="C435" i="1"/>
  <c r="D435" i="1"/>
  <c r="E435" i="1" a="1"/>
  <c r="E435" i="1" s="1"/>
  <c r="F435" i="1"/>
  <c r="G435" i="1"/>
  <c r="H435" i="1"/>
  <c r="J435" i="1" s="1" a="1"/>
  <c r="J435" i="1" s="1"/>
  <c r="I435" i="1"/>
  <c r="C436" i="1"/>
  <c r="D436" i="1"/>
  <c r="E436" i="1" a="1"/>
  <c r="E436" i="1"/>
  <c r="F436" i="1"/>
  <c r="G436" i="1"/>
  <c r="H436" i="1"/>
  <c r="J436" i="1" s="1" a="1"/>
  <c r="J436" i="1" s="1"/>
  <c r="I436" i="1"/>
  <c r="C437" i="1"/>
  <c r="D437" i="1"/>
  <c r="E437" i="1" a="1"/>
  <c r="E437" i="1"/>
  <c r="F437" i="1"/>
  <c r="G437" i="1"/>
  <c r="H437" i="1"/>
  <c r="J437" i="1" s="1" a="1"/>
  <c r="J437" i="1" s="1"/>
  <c r="I437" i="1"/>
  <c r="C438" i="1"/>
  <c r="D438" i="1"/>
  <c r="E438" i="1" a="1"/>
  <c r="E438" i="1"/>
  <c r="F438" i="1"/>
  <c r="G438" i="1"/>
  <c r="H438" i="1"/>
  <c r="B438" i="1" s="1" a="1"/>
  <c r="B438" i="1" s="1"/>
  <c r="I438" i="1"/>
  <c r="J438" i="1" a="1"/>
  <c r="J438" i="1" s="1"/>
  <c r="C439" i="1"/>
  <c r="D439" i="1"/>
  <c r="E439" i="1" a="1"/>
  <c r="E439" i="1"/>
  <c r="F439" i="1"/>
  <c r="G439" i="1"/>
  <c r="H439" i="1"/>
  <c r="J439" i="1" s="1" a="1"/>
  <c r="J439" i="1" s="1"/>
  <c r="I439" i="1"/>
  <c r="C440" i="1"/>
  <c r="D440" i="1"/>
  <c r="E440" i="1" a="1"/>
  <c r="E440" i="1"/>
  <c r="F440" i="1"/>
  <c r="G440" i="1"/>
  <c r="H440" i="1"/>
  <c r="B440" i="1" s="1" a="1"/>
  <c r="B440" i="1" s="1"/>
  <c r="I440" i="1"/>
  <c r="J440" i="1" a="1"/>
  <c r="J440" i="1"/>
  <c r="B441" i="1" a="1"/>
  <c r="B441" i="1" s="1"/>
  <c r="C441" i="1"/>
  <c r="D441" i="1"/>
  <c r="E441" i="1" a="1"/>
  <c r="E441" i="1" s="1"/>
  <c r="F441" i="1"/>
  <c r="G441" i="1"/>
  <c r="H441" i="1"/>
  <c r="I441" i="1"/>
  <c r="J441" i="1" a="1"/>
  <c r="J441" i="1" s="1"/>
  <c r="B442" i="1" a="1"/>
  <c r="B442" i="1" s="1"/>
  <c r="C442" i="1"/>
  <c r="D442" i="1"/>
  <c r="E442" i="1" a="1"/>
  <c r="E442" i="1" s="1"/>
  <c r="F442" i="1"/>
  <c r="G442" i="1"/>
  <c r="H442" i="1"/>
  <c r="I442" i="1"/>
  <c r="J442" i="1" a="1"/>
  <c r="J442" i="1"/>
  <c r="B443" i="1" a="1"/>
  <c r="B443" i="1" s="1"/>
  <c r="C443" i="1"/>
  <c r="D443" i="1"/>
  <c r="E443" i="1" a="1"/>
  <c r="E443" i="1"/>
  <c r="F443" i="1"/>
  <c r="G443" i="1"/>
  <c r="H443" i="1"/>
  <c r="I443" i="1"/>
  <c r="J443" i="1" a="1"/>
  <c r="J443" i="1"/>
  <c r="B444" i="1" a="1"/>
  <c r="B444" i="1" s="1"/>
  <c r="C444" i="1"/>
  <c r="D444" i="1"/>
  <c r="E444" i="1" a="1"/>
  <c r="E444" i="1" s="1"/>
  <c r="F444" i="1"/>
  <c r="G444" i="1"/>
  <c r="H444" i="1"/>
  <c r="I444" i="1"/>
  <c r="J444" i="1" a="1"/>
  <c r="J444" i="1"/>
  <c r="B445" i="1" a="1"/>
  <c r="B445" i="1" s="1"/>
  <c r="C445" i="1"/>
  <c r="D445" i="1"/>
  <c r="E445" i="1" a="1"/>
  <c r="E445" i="1" s="1"/>
  <c r="F445" i="1"/>
  <c r="G445" i="1"/>
  <c r="H445" i="1"/>
  <c r="I445" i="1"/>
  <c r="J445" i="1" a="1"/>
  <c r="J445" i="1"/>
  <c r="C446" i="1"/>
  <c r="D446" i="1"/>
  <c r="E446" i="1" a="1"/>
  <c r="E446" i="1"/>
  <c r="F446" i="1"/>
  <c r="G446" i="1"/>
  <c r="H446" i="1"/>
  <c r="J446" i="1" s="1" a="1"/>
  <c r="J446" i="1" s="1"/>
  <c r="I446" i="1"/>
  <c r="C447" i="1"/>
  <c r="D447" i="1"/>
  <c r="E447" i="1" a="1"/>
  <c r="E447" i="1" s="1"/>
  <c r="F447" i="1"/>
  <c r="G447" i="1"/>
  <c r="H447" i="1"/>
  <c r="J447" i="1" s="1" a="1"/>
  <c r="J447" i="1" s="1"/>
  <c r="I447" i="1"/>
  <c r="C448" i="1"/>
  <c r="D448" i="1"/>
  <c r="E448" i="1" a="1"/>
  <c r="E448" i="1"/>
  <c r="F448" i="1"/>
  <c r="G448" i="1"/>
  <c r="H448" i="1"/>
  <c r="J448" i="1" s="1" a="1"/>
  <c r="J448" i="1" s="1"/>
  <c r="I448" i="1"/>
  <c r="C449" i="1"/>
  <c r="D449" i="1"/>
  <c r="E449" i="1" a="1"/>
  <c r="E449" i="1"/>
  <c r="F449" i="1"/>
  <c r="G449" i="1"/>
  <c r="H449" i="1"/>
  <c r="J449" i="1" s="1" a="1"/>
  <c r="J449" i="1" s="1"/>
  <c r="I449" i="1"/>
  <c r="C450" i="1"/>
  <c r="D450" i="1"/>
  <c r="E450" i="1" a="1"/>
  <c r="E450" i="1"/>
  <c r="F450" i="1"/>
  <c r="G450" i="1"/>
  <c r="H450" i="1"/>
  <c r="J450" i="1" s="1" a="1"/>
  <c r="J450" i="1" s="1"/>
  <c r="I450" i="1"/>
  <c r="C451" i="1"/>
  <c r="D451" i="1"/>
  <c r="E451" i="1" a="1"/>
  <c r="E451" i="1"/>
  <c r="F451" i="1"/>
  <c r="G451" i="1"/>
  <c r="H451" i="1"/>
  <c r="J451" i="1" s="1" a="1"/>
  <c r="J451" i="1" s="1"/>
  <c r="I451" i="1"/>
  <c r="C452" i="1"/>
  <c r="D452" i="1"/>
  <c r="E452" i="1" a="1"/>
  <c r="E452" i="1"/>
  <c r="F452" i="1"/>
  <c r="G452" i="1"/>
  <c r="H452" i="1"/>
  <c r="B452" i="1" s="1" a="1"/>
  <c r="B452" i="1" s="1"/>
  <c r="I452" i="1"/>
  <c r="J452" i="1" a="1"/>
  <c r="J452" i="1"/>
  <c r="B453" i="1" a="1"/>
  <c r="B453" i="1" s="1"/>
  <c r="C453" i="1"/>
  <c r="D453" i="1"/>
  <c r="E453" i="1" a="1"/>
  <c r="E453" i="1" s="1"/>
  <c r="F453" i="1"/>
  <c r="G453" i="1"/>
  <c r="H453" i="1"/>
  <c r="I453" i="1"/>
  <c r="J453" i="1" a="1"/>
  <c r="J453" i="1" s="1"/>
  <c r="B454" i="1" a="1"/>
  <c r="B454" i="1" s="1"/>
  <c r="C454" i="1"/>
  <c r="D454" i="1"/>
  <c r="E454" i="1" a="1"/>
  <c r="E454" i="1" s="1"/>
  <c r="F454" i="1"/>
  <c r="G454" i="1"/>
  <c r="H454" i="1"/>
  <c r="I454" i="1"/>
  <c r="J454" i="1" a="1"/>
  <c r="J454" i="1"/>
  <c r="B455" i="1" a="1"/>
  <c r="B455" i="1" s="1"/>
  <c r="C455" i="1"/>
  <c r="D455" i="1"/>
  <c r="E455" i="1" a="1"/>
  <c r="E455" i="1"/>
  <c r="F455" i="1"/>
  <c r="G455" i="1"/>
  <c r="H455" i="1"/>
  <c r="I455" i="1"/>
  <c r="J455" i="1" a="1"/>
  <c r="J455" i="1"/>
  <c r="B456" i="1" a="1"/>
  <c r="B456" i="1" s="1"/>
  <c r="C456" i="1"/>
  <c r="D456" i="1"/>
  <c r="E456" i="1" a="1"/>
  <c r="E456" i="1" s="1"/>
  <c r="F456" i="1"/>
  <c r="G456" i="1"/>
  <c r="H456" i="1"/>
  <c r="I456" i="1"/>
  <c r="J456" i="1" a="1"/>
  <c r="J456" i="1"/>
  <c r="B457" i="1" a="1"/>
  <c r="B457" i="1" s="1"/>
  <c r="C457" i="1"/>
  <c r="D457" i="1"/>
  <c r="E457" i="1" a="1"/>
  <c r="E457" i="1" s="1"/>
  <c r="F457" i="1"/>
  <c r="G457" i="1"/>
  <c r="H457" i="1"/>
  <c r="I457" i="1"/>
  <c r="J457" i="1" a="1"/>
  <c r="J457" i="1"/>
  <c r="C458" i="1"/>
  <c r="D458" i="1"/>
  <c r="E458" i="1" a="1"/>
  <c r="E458" i="1"/>
  <c r="F458" i="1"/>
  <c r="G458" i="1"/>
  <c r="H458" i="1"/>
  <c r="J458" i="1" s="1" a="1"/>
  <c r="J458" i="1" s="1"/>
  <c r="I458" i="1"/>
  <c r="C459" i="1"/>
  <c r="D459" i="1"/>
  <c r="E459" i="1" a="1"/>
  <c r="E459" i="1" s="1"/>
  <c r="F459" i="1"/>
  <c r="G459" i="1"/>
  <c r="H459" i="1"/>
  <c r="J459" i="1" s="1" a="1"/>
  <c r="J459" i="1" s="1"/>
  <c r="I459" i="1"/>
  <c r="C460" i="1"/>
  <c r="D460" i="1"/>
  <c r="E460" i="1" a="1"/>
  <c r="E460" i="1"/>
  <c r="F460" i="1"/>
  <c r="G460" i="1"/>
  <c r="H460" i="1"/>
  <c r="J460" i="1" s="1" a="1"/>
  <c r="J460" i="1" s="1"/>
  <c r="I460" i="1"/>
  <c r="C461" i="1"/>
  <c r="D461" i="1"/>
  <c r="E461" i="1" a="1"/>
  <c r="E461" i="1"/>
  <c r="F461" i="1"/>
  <c r="G461" i="1"/>
  <c r="H461" i="1"/>
  <c r="J461" i="1" s="1" a="1"/>
  <c r="J461" i="1" s="1"/>
  <c r="I461" i="1"/>
  <c r="C462" i="1"/>
  <c r="D462" i="1"/>
  <c r="E462" i="1" a="1"/>
  <c r="E462" i="1"/>
  <c r="F462" i="1"/>
  <c r="G462" i="1"/>
  <c r="H462" i="1"/>
  <c r="J462" i="1" s="1" a="1"/>
  <c r="J462" i="1" s="1"/>
  <c r="I462" i="1"/>
  <c r="C463" i="1"/>
  <c r="D463" i="1"/>
  <c r="E463" i="1" a="1"/>
  <c r="E463" i="1"/>
  <c r="F463" i="1"/>
  <c r="G463" i="1"/>
  <c r="H463" i="1"/>
  <c r="B463" i="1" s="1" a="1"/>
  <c r="B463" i="1" s="1"/>
  <c r="I463" i="1"/>
  <c r="J463" i="1" a="1"/>
  <c r="J463" i="1" s="1"/>
  <c r="C464" i="1"/>
  <c r="D464" i="1"/>
  <c r="E464" i="1" a="1"/>
  <c r="E464" i="1"/>
  <c r="F464" i="1"/>
  <c r="G464" i="1"/>
  <c r="H464" i="1"/>
  <c r="B464" i="1" s="1" a="1"/>
  <c r="B464" i="1" s="1"/>
  <c r="I464" i="1"/>
  <c r="J464" i="1" a="1"/>
  <c r="J464" i="1"/>
  <c r="B465" i="1" a="1"/>
  <c r="B465" i="1" s="1"/>
  <c r="C465" i="1"/>
  <c r="D465" i="1"/>
  <c r="E465" i="1" a="1"/>
  <c r="E465" i="1" s="1"/>
  <c r="F465" i="1"/>
  <c r="G465" i="1"/>
  <c r="H465" i="1"/>
  <c r="I465" i="1"/>
  <c r="J465" i="1" a="1"/>
  <c r="J465" i="1" s="1"/>
  <c r="B466" i="1" a="1"/>
  <c r="B466" i="1" s="1"/>
  <c r="C466" i="1"/>
  <c r="D466" i="1"/>
  <c r="E466" i="1" a="1"/>
  <c r="E466" i="1" s="1"/>
  <c r="F466" i="1"/>
  <c r="G466" i="1"/>
  <c r="H466" i="1"/>
  <c r="I466" i="1"/>
  <c r="J466" i="1" a="1"/>
  <c r="J466" i="1"/>
  <c r="B467" i="1" a="1"/>
  <c r="B467" i="1" s="1"/>
  <c r="C467" i="1"/>
  <c r="D467" i="1"/>
  <c r="E467" i="1" a="1"/>
  <c r="E467" i="1"/>
  <c r="F467" i="1"/>
  <c r="G467" i="1"/>
  <c r="H467" i="1"/>
  <c r="I467" i="1"/>
  <c r="J467" i="1" a="1"/>
  <c r="J467" i="1"/>
  <c r="B468" i="1" a="1"/>
  <c r="B468" i="1" s="1"/>
  <c r="C468" i="1"/>
  <c r="D468" i="1"/>
  <c r="E468" i="1" a="1"/>
  <c r="E468" i="1" s="1"/>
  <c r="F468" i="1"/>
  <c r="G468" i="1"/>
  <c r="H468" i="1"/>
  <c r="I468" i="1"/>
  <c r="J468" i="1" a="1"/>
  <c r="J468" i="1"/>
  <c r="B469" i="1" a="1"/>
  <c r="B469" i="1" s="1"/>
  <c r="C469" i="1"/>
  <c r="D469" i="1"/>
  <c r="E469" i="1" a="1"/>
  <c r="E469" i="1" s="1"/>
  <c r="F469" i="1"/>
  <c r="G469" i="1"/>
  <c r="H469" i="1"/>
  <c r="I469" i="1"/>
  <c r="J469" i="1" a="1"/>
  <c r="J469" i="1"/>
  <c r="C470" i="1"/>
  <c r="D470" i="1"/>
  <c r="E470" i="1" a="1"/>
  <c r="E470" i="1"/>
  <c r="F470" i="1"/>
  <c r="G470" i="1"/>
  <c r="H470" i="1"/>
  <c r="J470" i="1" s="1" a="1"/>
  <c r="J470" i="1" s="1"/>
  <c r="I470" i="1"/>
  <c r="C471" i="1"/>
  <c r="D471" i="1"/>
  <c r="E471" i="1" a="1"/>
  <c r="E471" i="1" s="1"/>
  <c r="F471" i="1"/>
  <c r="G471" i="1"/>
  <c r="H471" i="1"/>
  <c r="J471" i="1" s="1" a="1"/>
  <c r="J471" i="1" s="1"/>
  <c r="I471" i="1"/>
  <c r="C472" i="1"/>
  <c r="D472" i="1"/>
  <c r="E472" i="1" a="1"/>
  <c r="E472" i="1"/>
  <c r="F472" i="1"/>
  <c r="G472" i="1"/>
  <c r="H472" i="1"/>
  <c r="J472" i="1" s="1" a="1"/>
  <c r="J472" i="1" s="1"/>
  <c r="I472" i="1"/>
  <c r="C473" i="1"/>
  <c r="D473" i="1"/>
  <c r="E473" i="1" a="1"/>
  <c r="E473" i="1"/>
  <c r="F473" i="1"/>
  <c r="G473" i="1"/>
  <c r="H473" i="1"/>
  <c r="J473" i="1" s="1" a="1"/>
  <c r="J473" i="1" s="1"/>
  <c r="I473" i="1"/>
  <c r="C474" i="1"/>
  <c r="D474" i="1"/>
  <c r="E474" i="1" a="1"/>
  <c r="E474" i="1"/>
  <c r="F474" i="1"/>
  <c r="G474" i="1"/>
  <c r="H474" i="1"/>
  <c r="J474" i="1" s="1" a="1"/>
  <c r="J474" i="1" s="1"/>
  <c r="I474" i="1"/>
  <c r="C475" i="1"/>
  <c r="D475" i="1"/>
  <c r="E475" i="1" a="1"/>
  <c r="E475" i="1"/>
  <c r="F475" i="1"/>
  <c r="G475" i="1"/>
  <c r="H475" i="1"/>
  <c r="J475" i="1" s="1" a="1"/>
  <c r="J475" i="1" s="1"/>
  <c r="I475" i="1"/>
  <c r="C476" i="1"/>
  <c r="D476" i="1"/>
  <c r="E476" i="1" a="1"/>
  <c r="E476" i="1"/>
  <c r="F476" i="1"/>
  <c r="G476" i="1"/>
  <c r="H476" i="1"/>
  <c r="J476" i="1" s="1" a="1"/>
  <c r="J476" i="1" s="1"/>
  <c r="I476" i="1"/>
  <c r="C477" i="1"/>
  <c r="D477" i="1"/>
  <c r="E477" i="1" a="1"/>
  <c r="E477" i="1"/>
  <c r="F477" i="1"/>
  <c r="G477" i="1"/>
  <c r="H477" i="1"/>
  <c r="J477" i="1" s="1" a="1"/>
  <c r="J477" i="1" s="1"/>
  <c r="I477" i="1"/>
  <c r="C478" i="1"/>
  <c r="D478" i="1"/>
  <c r="E478" i="1" a="1"/>
  <c r="E478" i="1"/>
  <c r="F478" i="1"/>
  <c r="G478" i="1"/>
  <c r="H478" i="1"/>
  <c r="J478" i="1" s="1" a="1"/>
  <c r="J478" i="1" s="1"/>
  <c r="I478" i="1"/>
  <c r="C479" i="1"/>
  <c r="D479" i="1"/>
  <c r="E479" i="1" a="1"/>
  <c r="E479" i="1"/>
  <c r="F479" i="1"/>
  <c r="G479" i="1"/>
  <c r="H479" i="1"/>
  <c r="J479" i="1" s="1" a="1"/>
  <c r="J479" i="1" s="1"/>
  <c r="I479" i="1"/>
  <c r="C480" i="1"/>
  <c r="D480" i="1"/>
  <c r="E480" i="1" a="1"/>
  <c r="E480" i="1"/>
  <c r="F480" i="1"/>
  <c r="G480" i="1"/>
  <c r="H480" i="1"/>
  <c r="J480" i="1" s="1" a="1"/>
  <c r="J480" i="1" s="1"/>
  <c r="I480" i="1"/>
  <c r="C481" i="1"/>
  <c r="D481" i="1"/>
  <c r="E481" i="1" a="1"/>
  <c r="E481" i="1"/>
  <c r="F481" i="1"/>
  <c r="G481" i="1"/>
  <c r="H481" i="1"/>
  <c r="J481" i="1" s="1" a="1"/>
  <c r="J481" i="1" s="1"/>
  <c r="I481" i="1"/>
  <c r="C482" i="1"/>
  <c r="D482" i="1"/>
  <c r="E482" i="1" a="1"/>
  <c r="E482" i="1"/>
  <c r="F482" i="1"/>
  <c r="G482" i="1"/>
  <c r="H482" i="1"/>
  <c r="J482" i="1" s="1" a="1"/>
  <c r="J482" i="1" s="1"/>
  <c r="I482" i="1"/>
  <c r="C483" i="1"/>
  <c r="D483" i="1"/>
  <c r="E483" i="1" a="1"/>
  <c r="E483" i="1"/>
  <c r="F483" i="1"/>
  <c r="G483" i="1"/>
  <c r="H483" i="1"/>
  <c r="J483" i="1" s="1" a="1"/>
  <c r="J483" i="1" s="1"/>
  <c r="I483" i="1"/>
  <c r="C484" i="1"/>
  <c r="D484" i="1"/>
  <c r="E484" i="1" a="1"/>
  <c r="E484" i="1"/>
  <c r="F484" i="1"/>
  <c r="G484" i="1"/>
  <c r="H484" i="1"/>
  <c r="J484" i="1" s="1" a="1"/>
  <c r="J484" i="1" s="1"/>
  <c r="I484" i="1"/>
  <c r="C485" i="1"/>
  <c r="D485" i="1"/>
  <c r="E485" i="1" a="1"/>
  <c r="E485" i="1"/>
  <c r="F485" i="1"/>
  <c r="G485" i="1"/>
  <c r="H485" i="1"/>
  <c r="J485" i="1" s="1" a="1"/>
  <c r="J485" i="1" s="1"/>
  <c r="I485" i="1"/>
  <c r="C486" i="1"/>
  <c r="D486" i="1"/>
  <c r="E486" i="1" a="1"/>
  <c r="E486" i="1"/>
  <c r="F486" i="1"/>
  <c r="G486" i="1"/>
  <c r="H486" i="1"/>
  <c r="J486" i="1" s="1" a="1"/>
  <c r="J486" i="1" s="1"/>
  <c r="I486" i="1"/>
  <c r="C487" i="1"/>
  <c r="D487" i="1"/>
  <c r="E487" i="1" a="1"/>
  <c r="E487" i="1"/>
  <c r="F487" i="1"/>
  <c r="G487" i="1"/>
  <c r="H487" i="1"/>
  <c r="J487" i="1" s="1" a="1"/>
  <c r="J487" i="1" s="1"/>
  <c r="I487" i="1"/>
  <c r="C488" i="1"/>
  <c r="D488" i="1"/>
  <c r="E488" i="1" a="1"/>
  <c r="E488" i="1"/>
  <c r="F488" i="1"/>
  <c r="G488" i="1"/>
  <c r="H488" i="1"/>
  <c r="J488" i="1" s="1" a="1"/>
  <c r="J488" i="1" s="1"/>
  <c r="I488" i="1"/>
  <c r="C489" i="1"/>
  <c r="D489" i="1"/>
  <c r="E489" i="1" a="1"/>
  <c r="E489" i="1"/>
  <c r="F489" i="1"/>
  <c r="G489" i="1"/>
  <c r="H489" i="1"/>
  <c r="J489" i="1" s="1" a="1"/>
  <c r="J489" i="1" s="1"/>
  <c r="I489" i="1"/>
  <c r="C490" i="1"/>
  <c r="D490" i="1"/>
  <c r="E490" i="1" a="1"/>
  <c r="E490" i="1"/>
  <c r="F490" i="1"/>
  <c r="G490" i="1"/>
  <c r="H490" i="1"/>
  <c r="J490" i="1" s="1" a="1"/>
  <c r="J490" i="1" s="1"/>
  <c r="I490" i="1"/>
  <c r="C491" i="1"/>
  <c r="D491" i="1"/>
  <c r="E491" i="1" a="1"/>
  <c r="E491" i="1"/>
  <c r="F491" i="1"/>
  <c r="G491" i="1"/>
  <c r="H491" i="1"/>
  <c r="J491" i="1" s="1" a="1"/>
  <c r="J491" i="1" s="1"/>
  <c r="I491" i="1"/>
  <c r="C492" i="1"/>
  <c r="D492" i="1"/>
  <c r="E492" i="1" a="1"/>
  <c r="E492" i="1"/>
  <c r="F492" i="1"/>
  <c r="G492" i="1"/>
  <c r="H492" i="1"/>
  <c r="J492" i="1" s="1" a="1"/>
  <c r="J492" i="1" s="1"/>
  <c r="I492" i="1"/>
  <c r="C493" i="1"/>
  <c r="D493" i="1"/>
  <c r="E493" i="1" a="1"/>
  <c r="E493" i="1"/>
  <c r="F493" i="1"/>
  <c r="G493" i="1"/>
  <c r="H493" i="1"/>
  <c r="J493" i="1" s="1" a="1"/>
  <c r="J493" i="1" s="1"/>
  <c r="I493" i="1"/>
  <c r="C494" i="1"/>
  <c r="D494" i="1"/>
  <c r="E494" i="1" a="1"/>
  <c r="E494" i="1"/>
  <c r="F494" i="1"/>
  <c r="G494" i="1"/>
  <c r="H494" i="1"/>
  <c r="J494" i="1" s="1" a="1"/>
  <c r="J494" i="1" s="1"/>
  <c r="I494" i="1"/>
  <c r="C495" i="1"/>
  <c r="D495" i="1"/>
  <c r="E495" i="1" a="1"/>
  <c r="E495" i="1"/>
  <c r="F495" i="1"/>
  <c r="G495" i="1"/>
  <c r="H495" i="1"/>
  <c r="J495" i="1" s="1" a="1"/>
  <c r="J495" i="1" s="1"/>
  <c r="I495" i="1"/>
  <c r="C496" i="1"/>
  <c r="D496" i="1"/>
  <c r="E496" i="1" a="1"/>
  <c r="E496" i="1"/>
  <c r="F496" i="1"/>
  <c r="G496" i="1"/>
  <c r="H496" i="1"/>
  <c r="J496" i="1" s="1" a="1"/>
  <c r="J496" i="1" s="1"/>
  <c r="I496" i="1"/>
  <c r="C497" i="1"/>
  <c r="D497" i="1"/>
  <c r="E497" i="1" a="1"/>
  <c r="E497" i="1"/>
  <c r="F497" i="1"/>
  <c r="G497" i="1"/>
  <c r="H497" i="1"/>
  <c r="J497" i="1" s="1" a="1"/>
  <c r="J497" i="1" s="1"/>
  <c r="I497" i="1"/>
  <c r="C498" i="1"/>
  <c r="D498" i="1"/>
  <c r="E498" i="1" a="1"/>
  <c r="E498" i="1"/>
  <c r="F498" i="1"/>
  <c r="G498" i="1"/>
  <c r="H498" i="1"/>
  <c r="J498" i="1" s="1" a="1"/>
  <c r="J498" i="1" s="1"/>
  <c r="I498" i="1"/>
  <c r="C499" i="1"/>
  <c r="D499" i="1"/>
  <c r="E499" i="1" a="1"/>
  <c r="E499" i="1"/>
  <c r="F499" i="1"/>
  <c r="G499" i="1"/>
  <c r="H499" i="1"/>
  <c r="J499" i="1" s="1" a="1"/>
  <c r="J499" i="1" s="1"/>
  <c r="I499" i="1"/>
  <c r="C500" i="1"/>
  <c r="D500" i="1"/>
  <c r="E500" i="1" a="1"/>
  <c r="E500" i="1"/>
  <c r="F500" i="1"/>
  <c r="G500" i="1"/>
  <c r="H500" i="1"/>
  <c r="J500" i="1" s="1" a="1"/>
  <c r="J500" i="1" s="1"/>
  <c r="I500" i="1"/>
  <c r="C501" i="1"/>
  <c r="D501" i="1"/>
  <c r="E501" i="1" a="1"/>
  <c r="E501" i="1" s="1"/>
  <c r="F501" i="1"/>
  <c r="G501" i="1"/>
  <c r="H501" i="1"/>
  <c r="J501" i="1" s="1" a="1"/>
  <c r="J501" i="1" s="1"/>
  <c r="I501" i="1"/>
  <c r="C502" i="1"/>
  <c r="D502" i="1"/>
  <c r="E502" i="1" a="1"/>
  <c r="E502" i="1"/>
  <c r="F502" i="1"/>
  <c r="G502" i="1"/>
  <c r="H502" i="1"/>
  <c r="J502" i="1" s="1" a="1"/>
  <c r="J502" i="1" s="1"/>
  <c r="I502" i="1"/>
  <c r="C503" i="1"/>
  <c r="D503" i="1"/>
  <c r="E503" i="1" a="1"/>
  <c r="E503" i="1"/>
  <c r="F503" i="1"/>
  <c r="G503" i="1"/>
  <c r="H503" i="1"/>
  <c r="J503" i="1" s="1" a="1"/>
  <c r="J503" i="1" s="1"/>
  <c r="I503" i="1"/>
  <c r="C504" i="1"/>
  <c r="D504" i="1"/>
  <c r="E504" i="1" a="1"/>
  <c r="E504" i="1"/>
  <c r="F504" i="1"/>
  <c r="G504" i="1"/>
  <c r="H504" i="1"/>
  <c r="J504" i="1" s="1" a="1"/>
  <c r="J504" i="1" s="1"/>
  <c r="I504" i="1"/>
  <c r="C505" i="1"/>
  <c r="D505" i="1"/>
  <c r="E505" i="1" a="1"/>
  <c r="E505" i="1"/>
  <c r="F505" i="1"/>
  <c r="G505" i="1"/>
  <c r="H505" i="1"/>
  <c r="J505" i="1" s="1" a="1"/>
  <c r="J505" i="1" s="1"/>
  <c r="I505" i="1"/>
  <c r="C506" i="1"/>
  <c r="D506" i="1"/>
  <c r="E506" i="1" a="1"/>
  <c r="E506" i="1"/>
  <c r="F506" i="1"/>
  <c r="G506" i="1"/>
  <c r="H506" i="1"/>
  <c r="J506" i="1" s="1" a="1"/>
  <c r="J506" i="1" s="1"/>
  <c r="I506" i="1"/>
  <c r="C507" i="1"/>
  <c r="D507" i="1"/>
  <c r="E507" i="1" a="1"/>
  <c r="E507" i="1"/>
  <c r="F507" i="1"/>
  <c r="G507" i="1"/>
  <c r="H507" i="1"/>
  <c r="J507" i="1" s="1" a="1"/>
  <c r="J507" i="1" s="1"/>
  <c r="I507" i="1"/>
  <c r="C508" i="1"/>
  <c r="D508" i="1"/>
  <c r="E508" i="1" a="1"/>
  <c r="E508" i="1"/>
  <c r="F508" i="1"/>
  <c r="G508" i="1"/>
  <c r="H508" i="1"/>
  <c r="J508" i="1" s="1" a="1"/>
  <c r="J508" i="1" s="1"/>
  <c r="I508" i="1"/>
  <c r="B470" i="1" l="1" a="1"/>
  <c r="B470" i="1" s="1"/>
  <c r="B458" i="1" a="1"/>
  <c r="B458" i="1" s="1"/>
  <c r="B446" i="1" a="1"/>
  <c r="B446" i="1" s="1"/>
  <c r="B434" i="1" a="1"/>
  <c r="B434" i="1" s="1"/>
  <c r="B424" i="1" a="1"/>
  <c r="B424" i="1" s="1"/>
  <c r="B418" i="1" a="1"/>
  <c r="B418" i="1" s="1"/>
  <c r="J226" i="1" a="1"/>
  <c r="J226" i="1" s="1"/>
  <c r="B226" i="1" a="1"/>
  <c r="B226" i="1" s="1"/>
  <c r="B435" i="1" a="1"/>
  <c r="B435" i="1" s="1"/>
  <c r="B460" i="1" a="1"/>
  <c r="B460" i="1" s="1"/>
  <c r="B436" i="1" a="1"/>
  <c r="B436" i="1" s="1"/>
  <c r="B413" i="1" a="1"/>
  <c r="B413" i="1" s="1"/>
  <c r="B407" i="1" a="1"/>
  <c r="B407" i="1" s="1"/>
  <c r="B473" i="1" a="1"/>
  <c r="B473" i="1" s="1"/>
  <c r="B461" i="1" a="1"/>
  <c r="B461" i="1" s="1"/>
  <c r="B449" i="1" a="1"/>
  <c r="B449" i="1" s="1"/>
  <c r="B437" i="1" a="1"/>
  <c r="B437" i="1" s="1"/>
  <c r="J339" i="1" a="1"/>
  <c r="J339" i="1" s="1"/>
  <c r="B339" i="1" a="1"/>
  <c r="B339" i="1" s="1"/>
  <c r="B337" i="1" a="1"/>
  <c r="B337" i="1" s="1"/>
  <c r="J261" i="1" a="1"/>
  <c r="J261" i="1" s="1"/>
  <c r="B261" i="1" a="1"/>
  <c r="B261" i="1" s="1"/>
  <c r="B471" i="1" a="1"/>
  <c r="B471" i="1" s="1"/>
  <c r="B459" i="1" a="1"/>
  <c r="B459" i="1" s="1"/>
  <c r="B447" i="1" a="1"/>
  <c r="B447" i="1" s="1"/>
  <c r="B472" i="1" a="1"/>
  <c r="B472" i="1" s="1"/>
  <c r="B448" i="1" a="1"/>
  <c r="B448" i="1" s="1"/>
  <c r="B425" i="1" a="1"/>
  <c r="B425" i="1" s="1"/>
  <c r="B419" i="1" a="1"/>
  <c r="B419" i="1" s="1"/>
  <c r="B508" i="1" a="1"/>
  <c r="B508" i="1" s="1"/>
  <c r="B507" i="1" a="1"/>
  <c r="B507" i="1" s="1"/>
  <c r="B506" i="1" a="1"/>
  <c r="B506" i="1" s="1"/>
  <c r="B505" i="1" a="1"/>
  <c r="B505" i="1" s="1"/>
  <c r="B504" i="1" a="1"/>
  <c r="B504" i="1" s="1"/>
  <c r="B503" i="1" a="1"/>
  <c r="B503" i="1" s="1"/>
  <c r="B502" i="1" a="1"/>
  <c r="B502" i="1" s="1"/>
  <c r="B501" i="1" a="1"/>
  <c r="B501" i="1" s="1"/>
  <c r="B500" i="1" a="1"/>
  <c r="B500" i="1" s="1"/>
  <c r="B499" i="1" a="1"/>
  <c r="B499" i="1" s="1"/>
  <c r="B498" i="1" a="1"/>
  <c r="B498" i="1" s="1"/>
  <c r="B497" i="1" a="1"/>
  <c r="B497" i="1" s="1"/>
  <c r="B496" i="1" a="1"/>
  <c r="B496" i="1" s="1"/>
  <c r="B495" i="1" a="1"/>
  <c r="B495" i="1" s="1"/>
  <c r="B494" i="1" a="1"/>
  <c r="B494" i="1" s="1"/>
  <c r="B493" i="1" a="1"/>
  <c r="B493" i="1" s="1"/>
  <c r="B492" i="1" a="1"/>
  <c r="B492" i="1" s="1"/>
  <c r="B491" i="1" a="1"/>
  <c r="B491" i="1" s="1"/>
  <c r="B490" i="1" a="1"/>
  <c r="B490" i="1" s="1"/>
  <c r="B489" i="1" a="1"/>
  <c r="B489" i="1" s="1"/>
  <c r="B488" i="1" a="1"/>
  <c r="B488" i="1" s="1"/>
  <c r="B487" i="1" a="1"/>
  <c r="B487" i="1" s="1"/>
  <c r="B486" i="1" a="1"/>
  <c r="B486" i="1" s="1"/>
  <c r="B485" i="1" a="1"/>
  <c r="B485" i="1" s="1"/>
  <c r="B484" i="1" a="1"/>
  <c r="B484" i="1" s="1"/>
  <c r="B483" i="1" a="1"/>
  <c r="B483" i="1" s="1"/>
  <c r="B482" i="1" a="1"/>
  <c r="B482" i="1" s="1"/>
  <c r="B481" i="1" a="1"/>
  <c r="B481" i="1" s="1"/>
  <c r="B480" i="1" a="1"/>
  <c r="B480" i="1" s="1"/>
  <c r="B479" i="1" a="1"/>
  <c r="B479" i="1" s="1"/>
  <c r="B478" i="1" a="1"/>
  <c r="B478" i="1" s="1"/>
  <c r="B477" i="1" a="1"/>
  <c r="B477" i="1" s="1"/>
  <c r="B476" i="1" a="1"/>
  <c r="B476" i="1" s="1"/>
  <c r="B475" i="1" a="1"/>
  <c r="B475" i="1" s="1"/>
  <c r="B474" i="1" a="1"/>
  <c r="B474" i="1" s="1"/>
  <c r="B462" i="1" a="1"/>
  <c r="B462" i="1" s="1"/>
  <c r="B450" i="1" a="1"/>
  <c r="B450" i="1" s="1"/>
  <c r="B420" i="1" a="1"/>
  <c r="B420" i="1" s="1"/>
  <c r="B414" i="1" a="1"/>
  <c r="B414" i="1" s="1"/>
  <c r="B408" i="1" a="1"/>
  <c r="B408" i="1" s="1"/>
  <c r="J279" i="1" a="1"/>
  <c r="J279" i="1" s="1"/>
  <c r="B279" i="1" a="1"/>
  <c r="B279" i="1" s="1"/>
  <c r="B451" i="1" a="1"/>
  <c r="B451" i="1" s="1"/>
  <c r="B439" i="1" a="1"/>
  <c r="B439" i="1" s="1"/>
  <c r="B427" i="1" a="1"/>
  <c r="B427" i="1" s="1"/>
  <c r="J336" i="1" a="1"/>
  <c r="J336" i="1" s="1"/>
  <c r="B336" i="1" a="1"/>
  <c r="B336" i="1" s="1"/>
  <c r="J327" i="1" a="1"/>
  <c r="J327" i="1" s="1"/>
  <c r="B327" i="1" a="1"/>
  <c r="B327" i="1" s="1"/>
  <c r="B325" i="1" a="1"/>
  <c r="B325" i="1" s="1"/>
  <c r="B421" i="1" a="1"/>
  <c r="B421" i="1" s="1"/>
  <c r="B415" i="1" a="1"/>
  <c r="B415" i="1" s="1"/>
  <c r="B409" i="1" a="1"/>
  <c r="B409" i="1" s="1"/>
  <c r="J291" i="1" a="1"/>
  <c r="J291" i="1" s="1"/>
  <c r="B291" i="1" a="1"/>
  <c r="B291" i="1" s="1"/>
  <c r="J324" i="1" a="1"/>
  <c r="J324" i="1" s="1"/>
  <c r="B324" i="1" a="1"/>
  <c r="B324" i="1" s="1"/>
  <c r="J315" i="1" a="1"/>
  <c r="J315" i="1" s="1"/>
  <c r="B315" i="1" a="1"/>
  <c r="B315" i="1" s="1"/>
  <c r="J312" i="1" a="1"/>
  <c r="J312" i="1" s="1"/>
  <c r="B312" i="1" a="1"/>
  <c r="B312" i="1" s="1"/>
  <c r="J303" i="1" a="1"/>
  <c r="J303" i="1" s="1"/>
  <c r="B303" i="1" a="1"/>
  <c r="B303" i="1" s="1"/>
  <c r="J300" i="1" a="1"/>
  <c r="J300" i="1" s="1"/>
  <c r="B300" i="1" a="1"/>
  <c r="B300" i="1" s="1"/>
  <c r="J277" i="1" a="1"/>
  <c r="J277" i="1" s="1"/>
  <c r="B277" i="1" a="1"/>
  <c r="B277" i="1" s="1"/>
  <c r="J333" i="1" a="1"/>
  <c r="J333" i="1" s="1"/>
  <c r="B333" i="1" a="1"/>
  <c r="B333" i="1" s="1"/>
  <c r="J289" i="1" a="1"/>
  <c r="J289" i="1" s="1"/>
  <c r="B289" i="1" a="1"/>
  <c r="B289" i="1" s="1"/>
  <c r="J313" i="1" a="1"/>
  <c r="J313" i="1" s="1"/>
  <c r="B313" i="1" a="1"/>
  <c r="B313" i="1" s="1"/>
  <c r="J301" i="1" a="1"/>
  <c r="J301" i="1" s="1"/>
  <c r="B301" i="1" a="1"/>
  <c r="B301" i="1" s="1"/>
  <c r="B229" i="1" a="1"/>
  <c r="B229" i="1" s="1"/>
  <c r="J213" i="1" a="1"/>
  <c r="J213" i="1" s="1"/>
  <c r="B213" i="1" a="1"/>
  <c r="B213" i="1" s="1"/>
  <c r="B108" i="1" a="1"/>
  <c r="B108" i="1" s="1"/>
  <c r="J108" i="1" a="1"/>
  <c r="J108" i="1" s="1"/>
  <c r="B21" i="1" a="1"/>
  <c r="B21" i="1" s="1"/>
  <c r="J21" i="1" a="1"/>
  <c r="J21" i="1" s="1"/>
  <c r="B288" i="1" a="1"/>
  <c r="B288" i="1" s="1"/>
  <c r="B276" i="1" a="1"/>
  <c r="B276" i="1" s="1"/>
  <c r="B265" i="1" a="1"/>
  <c r="B265" i="1" s="1"/>
  <c r="B243" i="1" a="1"/>
  <c r="B243" i="1" s="1"/>
  <c r="J209" i="1" a="1"/>
  <c r="J209" i="1" s="1"/>
  <c r="B209" i="1" a="1"/>
  <c r="B209" i="1" s="1"/>
  <c r="J203" i="1" a="1"/>
  <c r="J203" i="1" s="1"/>
  <c r="B203" i="1" a="1"/>
  <c r="B203" i="1" s="1"/>
  <c r="B49" i="1" a="1"/>
  <c r="B49" i="1" s="1"/>
  <c r="J49" i="1" a="1"/>
  <c r="J49" i="1" s="1"/>
  <c r="B266" i="1" a="1"/>
  <c r="B266" i="1" s="1"/>
  <c r="J264" i="1" a="1"/>
  <c r="J264" i="1" s="1"/>
  <c r="B260" i="1" a="1"/>
  <c r="B260" i="1" s="1"/>
  <c r="J250" i="1" a="1"/>
  <c r="J250" i="1" s="1"/>
  <c r="B230" i="1" a="1"/>
  <c r="B230" i="1" s="1"/>
  <c r="B220" i="1" a="1"/>
  <c r="B220" i="1" s="1"/>
  <c r="B97" i="1" a="1"/>
  <c r="B97" i="1" s="1"/>
  <c r="J97" i="1" a="1"/>
  <c r="J97" i="1" s="1"/>
  <c r="B338" i="1" a="1"/>
  <c r="B338" i="1" s="1"/>
  <c r="B326" i="1" a="1"/>
  <c r="B326" i="1" s="1"/>
  <c r="B314" i="1" a="1"/>
  <c r="B314" i="1" s="1"/>
  <c r="B302" i="1" a="1"/>
  <c r="B302" i="1" s="1"/>
  <c r="B290" i="1" a="1"/>
  <c r="B290" i="1" s="1"/>
  <c r="B278" i="1" a="1"/>
  <c r="B278" i="1" s="1"/>
  <c r="J219" i="1" a="1"/>
  <c r="J219" i="1" s="1"/>
  <c r="B268" i="1" a="1"/>
  <c r="B268" i="1" s="1"/>
  <c r="B252" i="1" a="1"/>
  <c r="B252" i="1" s="1"/>
  <c r="B232" i="1" a="1"/>
  <c r="B232" i="1" s="1"/>
  <c r="J225" i="1" a="1"/>
  <c r="J225" i="1" s="1"/>
  <c r="B225" i="1" a="1"/>
  <c r="B225" i="1" s="1"/>
  <c r="J214" i="1" a="1"/>
  <c r="J214" i="1" s="1"/>
  <c r="B214" i="1" a="1"/>
  <c r="B214" i="1" s="1"/>
  <c r="J237" i="1" a="1"/>
  <c r="J237" i="1" s="1"/>
  <c r="B237" i="1" a="1"/>
  <c r="B237" i="1" s="1"/>
  <c r="B192" i="1" a="1"/>
  <c r="B192" i="1" s="1"/>
  <c r="J192" i="1" a="1"/>
  <c r="J192" i="1" s="1"/>
  <c r="B180" i="1" a="1"/>
  <c r="B180" i="1" s="1"/>
  <c r="J180" i="1" a="1"/>
  <c r="J180" i="1" s="1"/>
  <c r="B152" i="1" a="1"/>
  <c r="B152" i="1" s="1"/>
  <c r="J152" i="1" a="1"/>
  <c r="J152" i="1" s="1"/>
  <c r="B204" i="1" a="1"/>
  <c r="B204" i="1" s="1"/>
  <c r="J204" i="1" a="1"/>
  <c r="J204" i="1" s="1"/>
  <c r="J128" i="1" a="1"/>
  <c r="J128" i="1" s="1"/>
  <c r="B128" i="1" a="1"/>
  <c r="B128" i="1" s="1"/>
  <c r="J238" i="1" a="1"/>
  <c r="J238" i="1" s="1"/>
  <c r="J136" i="1" a="1"/>
  <c r="J136" i="1" s="1"/>
  <c r="B136" i="1" a="1"/>
  <c r="B136" i="1" s="1"/>
  <c r="B196" i="1" a="1"/>
  <c r="B196" i="1" s="1"/>
  <c r="J196" i="1" a="1"/>
  <c r="J196" i="1" s="1"/>
  <c r="B184" i="1" a="1"/>
  <c r="B184" i="1" s="1"/>
  <c r="J184" i="1" a="1"/>
  <c r="J184" i="1" s="1"/>
  <c r="B172" i="1" a="1"/>
  <c r="B172" i="1" s="1"/>
  <c r="J172" i="1" a="1"/>
  <c r="J172" i="1" s="1"/>
  <c r="B156" i="1" a="1"/>
  <c r="B156" i="1" s="1"/>
  <c r="J156" i="1" a="1"/>
  <c r="J156" i="1" s="1"/>
  <c r="B321" i="1" a="1"/>
  <c r="B321" i="1" s="1"/>
  <c r="B309" i="1" a="1"/>
  <c r="B309" i="1" s="1"/>
  <c r="B297" i="1" a="1"/>
  <c r="B297" i="1" s="1"/>
  <c r="B285" i="1" a="1"/>
  <c r="B285" i="1" s="1"/>
  <c r="B273" i="1" a="1"/>
  <c r="B273" i="1" s="1"/>
  <c r="J239" i="1" a="1"/>
  <c r="J239" i="1" s="1"/>
  <c r="B236" i="1" a="1"/>
  <c r="B236" i="1" s="1"/>
  <c r="J227" i="1" a="1"/>
  <c r="J227" i="1" s="1"/>
  <c r="B334" i="1" a="1"/>
  <c r="B334" i="1" s="1"/>
  <c r="B322" i="1" a="1"/>
  <c r="B322" i="1" s="1"/>
  <c r="B310" i="1" a="1"/>
  <c r="B310" i="1" s="1"/>
  <c r="B298" i="1" a="1"/>
  <c r="B298" i="1" s="1"/>
  <c r="B286" i="1" a="1"/>
  <c r="B286" i="1" s="1"/>
  <c r="B274" i="1" a="1"/>
  <c r="B274" i="1" s="1"/>
  <c r="B160" i="1" a="1"/>
  <c r="B160" i="1" s="1"/>
  <c r="J160" i="1" a="1"/>
  <c r="J160" i="1" s="1"/>
  <c r="J200" i="1" a="1"/>
  <c r="J200" i="1" s="1"/>
  <c r="B200" i="1" a="1"/>
  <c r="B200" i="1" s="1"/>
  <c r="B188" i="1" a="1"/>
  <c r="B188" i="1" s="1"/>
  <c r="J188" i="1" a="1"/>
  <c r="J188" i="1" s="1"/>
  <c r="B176" i="1" a="1"/>
  <c r="B176" i="1" s="1"/>
  <c r="J176" i="1" a="1"/>
  <c r="J176" i="1" s="1"/>
  <c r="J148" i="1" a="1"/>
  <c r="J148" i="1" s="1"/>
  <c r="B148" i="1" a="1"/>
  <c r="B148" i="1" s="1"/>
  <c r="J140" i="1" a="1"/>
  <c r="J140" i="1" s="1"/>
  <c r="B140" i="1" a="1"/>
  <c r="B140" i="1" s="1"/>
  <c r="B120" i="1" a="1"/>
  <c r="B120" i="1" s="1"/>
  <c r="J120" i="1" a="1"/>
  <c r="J120" i="1" s="1"/>
  <c r="B164" i="1" a="1"/>
  <c r="B164" i="1" s="1"/>
  <c r="J164" i="1" a="1"/>
  <c r="J164" i="1" s="1"/>
  <c r="B168" i="1" a="1"/>
  <c r="B168" i="1" s="1"/>
  <c r="J168" i="1" a="1"/>
  <c r="J168" i="1" s="1"/>
  <c r="J208" i="1" a="1"/>
  <c r="J208" i="1" s="1"/>
  <c r="J202" i="1" a="1"/>
  <c r="J202" i="1" s="1"/>
  <c r="J197" i="1" a="1"/>
  <c r="J197" i="1" s="1"/>
  <c r="J193" i="1" a="1"/>
  <c r="J193" i="1" s="1"/>
  <c r="J189" i="1" a="1"/>
  <c r="J189" i="1" s="1"/>
  <c r="J185" i="1" a="1"/>
  <c r="J185" i="1" s="1"/>
  <c r="J181" i="1" a="1"/>
  <c r="J181" i="1" s="1"/>
  <c r="J177" i="1" a="1"/>
  <c r="J177" i="1" s="1"/>
  <c r="J173" i="1" a="1"/>
  <c r="J173" i="1" s="1"/>
  <c r="J169" i="1" a="1"/>
  <c r="J169" i="1" s="1"/>
  <c r="J165" i="1" a="1"/>
  <c r="J165" i="1" s="1"/>
  <c r="J161" i="1" a="1"/>
  <c r="J161" i="1" s="1"/>
  <c r="J157" i="1" a="1"/>
  <c r="J157" i="1" s="1"/>
  <c r="J153" i="1" a="1"/>
  <c r="J153" i="1" s="1"/>
  <c r="J149" i="1" a="1"/>
  <c r="J149" i="1" s="1"/>
  <c r="J143" i="1" a="1"/>
  <c r="J143" i="1" s="1"/>
  <c r="J137" i="1" a="1"/>
  <c r="J137" i="1" s="1"/>
  <c r="J131" i="1" a="1"/>
  <c r="J131" i="1" s="1"/>
  <c r="J121" i="1" a="1"/>
  <c r="J121" i="1" s="1"/>
  <c r="B94" i="1" a="1"/>
  <c r="B94" i="1" s="1"/>
  <c r="J94" i="1" a="1"/>
  <c r="J94" i="1" s="1"/>
  <c r="B90" i="1" a="1"/>
  <c r="B90" i="1" s="1"/>
  <c r="J90" i="1" a="1"/>
  <c r="J90" i="1" s="1"/>
  <c r="B79" i="1" a="1"/>
  <c r="B79" i="1" s="1"/>
  <c r="J79" i="1" a="1"/>
  <c r="J79" i="1" s="1"/>
  <c r="J76" i="1" a="1"/>
  <c r="J76" i="1" s="1"/>
  <c r="B76" i="1" a="1"/>
  <c r="B76" i="1" s="1"/>
  <c r="J60" i="1" a="1"/>
  <c r="J60" i="1" s="1"/>
  <c r="B60" i="1" a="1"/>
  <c r="B60" i="1" s="1"/>
  <c r="B106" i="1" a="1"/>
  <c r="B106" i="1" s="1"/>
  <c r="J106" i="1" a="1"/>
  <c r="J106" i="1" s="1"/>
  <c r="J91" i="1" a="1"/>
  <c r="J91" i="1" s="1"/>
  <c r="J154" i="1" a="1"/>
  <c r="J154" i="1" s="1"/>
  <c r="J150" i="1" a="1"/>
  <c r="J150" i="1" s="1"/>
  <c r="B118" i="1" a="1"/>
  <c r="B118" i="1" s="1"/>
  <c r="J118" i="1" a="1"/>
  <c r="J118" i="1" s="1"/>
  <c r="B102" i="1" a="1"/>
  <c r="B102" i="1" s="1"/>
  <c r="J102" i="1" a="1"/>
  <c r="J102" i="1" s="1"/>
  <c r="J138" i="1" a="1"/>
  <c r="J138" i="1" s="1"/>
  <c r="J103" i="1" a="1"/>
  <c r="J103" i="1" s="1"/>
  <c r="B114" i="1" a="1"/>
  <c r="B114" i="1" s="1"/>
  <c r="J114" i="1" a="1"/>
  <c r="J114" i="1" s="1"/>
  <c r="B88" i="1" a="1"/>
  <c r="B88" i="1" s="1"/>
  <c r="J88" i="1" a="1"/>
  <c r="J88" i="1" s="1"/>
  <c r="B100" i="1" a="1"/>
  <c r="B100" i="1" s="1"/>
  <c r="J100" i="1" a="1"/>
  <c r="J100" i="1" s="1"/>
  <c r="B96" i="1" a="1"/>
  <c r="B96" i="1" s="1"/>
  <c r="J96" i="1" a="1"/>
  <c r="J96" i="1" s="1"/>
  <c r="J85" i="1" a="1"/>
  <c r="J85" i="1" s="1"/>
  <c r="B85" i="1" a="1"/>
  <c r="B85" i="1" s="1"/>
  <c r="B124" i="1" a="1"/>
  <c r="B124" i="1" s="1"/>
  <c r="J124" i="1" a="1"/>
  <c r="J124" i="1" s="1"/>
  <c r="B112" i="1" a="1"/>
  <c r="B112" i="1" s="1"/>
  <c r="J112" i="1" a="1"/>
  <c r="J112" i="1" s="1"/>
  <c r="J123" i="1" a="1"/>
  <c r="J123" i="1" s="1"/>
  <c r="J117" i="1" a="1"/>
  <c r="J117" i="1" s="1"/>
  <c r="J111" i="1" a="1"/>
  <c r="J111" i="1" s="1"/>
  <c r="J105" i="1" a="1"/>
  <c r="J105" i="1" s="1"/>
  <c r="J99" i="1" a="1"/>
  <c r="J99" i="1" s="1"/>
  <c r="J93" i="1" a="1"/>
  <c r="J93" i="1" s="1"/>
  <c r="J87" i="1" a="1"/>
  <c r="J87" i="1" s="1"/>
  <c r="B65" i="1" a="1"/>
  <c r="B65" i="1" s="1"/>
  <c r="B59" i="1" a="1"/>
  <c r="B59" i="1" s="1"/>
  <c r="B29" i="1" a="1"/>
  <c r="B29" i="1" s="1"/>
  <c r="J29" i="1" a="1"/>
  <c r="J29" i="1" s="1"/>
  <c r="B9" i="1" a="1"/>
  <c r="B9" i="1" s="1"/>
  <c r="J9" i="1" a="1"/>
  <c r="J9" i="1" s="1"/>
  <c r="B77" i="1" a="1"/>
  <c r="B77" i="1" s="1"/>
  <c r="B37" i="1" a="1"/>
  <c r="B37" i="1" s="1"/>
  <c r="J37" i="1" a="1"/>
  <c r="J37" i="1" s="1"/>
  <c r="B17" i="1" a="1"/>
  <c r="B17" i="1" s="1"/>
  <c r="J17" i="1" a="1"/>
  <c r="J17" i="1" s="1"/>
  <c r="B45" i="1" a="1"/>
  <c r="B45" i="1" s="1"/>
  <c r="J45" i="1" a="1"/>
  <c r="J45" i="1" s="1"/>
  <c r="B25" i="1" a="1"/>
  <c r="B25" i="1" s="1"/>
  <c r="J25" i="1" a="1"/>
  <c r="J25" i="1" s="1"/>
  <c r="B53" i="1" a="1"/>
  <c r="B53" i="1" s="1"/>
  <c r="J53" i="1" a="1"/>
  <c r="J53" i="1" s="1"/>
  <c r="B5" i="1" a="1"/>
  <c r="B5" i="1" s="1"/>
  <c r="J5" i="1" a="1"/>
  <c r="J5" i="1" s="1"/>
  <c r="J73" i="1" a="1"/>
  <c r="J73" i="1" s="1"/>
  <c r="B73" i="1" a="1"/>
  <c r="B73" i="1" s="1"/>
  <c r="B33" i="1" a="1"/>
  <c r="B33" i="1" s="1"/>
  <c r="J33" i="1" a="1"/>
  <c r="J33" i="1" s="1"/>
  <c r="J70" i="1" a="1"/>
  <c r="J70" i="1" s="1"/>
  <c r="B70" i="1" a="1"/>
  <c r="B70" i="1" s="1"/>
  <c r="B13" i="1" a="1"/>
  <c r="B13" i="1" s="1"/>
  <c r="J13" i="1" a="1"/>
  <c r="J13" i="1" s="1"/>
  <c r="J82" i="1" a="1"/>
  <c r="J82" i="1" s="1"/>
  <c r="B82" i="1" a="1"/>
  <c r="B82" i="1" s="1"/>
  <c r="J63" i="1" a="1"/>
  <c r="J63" i="1" s="1"/>
  <c r="B63" i="1" a="1"/>
  <c r="B63" i="1" s="1"/>
  <c r="J57" i="1" a="1"/>
  <c r="J57" i="1" s="1"/>
  <c r="B57" i="1" a="1"/>
  <c r="B57" i="1" s="1"/>
  <c r="B41" i="1" a="1"/>
  <c r="B41" i="1" s="1"/>
  <c r="J41" i="1" a="1"/>
  <c r="J41" i="1" s="1"/>
  <c r="B50" i="1" a="1"/>
  <c r="B50" i="1" s="1"/>
  <c r="J50" i="1" a="1"/>
  <c r="J50" i="1" s="1"/>
  <c r="B46" i="1" a="1"/>
  <c r="B46" i="1" s="1"/>
  <c r="J46" i="1" a="1"/>
  <c r="J46" i="1" s="1"/>
  <c r="B42" i="1" a="1"/>
  <c r="B42" i="1" s="1"/>
  <c r="J42" i="1" a="1"/>
  <c r="J42" i="1" s="1"/>
  <c r="B38" i="1" a="1"/>
  <c r="B38" i="1" s="1"/>
  <c r="J38" i="1" a="1"/>
  <c r="J38" i="1" s="1"/>
  <c r="B34" i="1" a="1"/>
  <c r="B34" i="1" s="1"/>
  <c r="J34" i="1" a="1"/>
  <c r="J34" i="1" s="1"/>
  <c r="B30" i="1" a="1"/>
  <c r="B30" i="1" s="1"/>
  <c r="J30" i="1" a="1"/>
  <c r="J30" i="1" s="1"/>
  <c r="B26" i="1" a="1"/>
  <c r="B26" i="1" s="1"/>
  <c r="J26" i="1" a="1"/>
  <c r="J26" i="1" s="1"/>
  <c r="B22" i="1" a="1"/>
  <c r="B22" i="1" s="1"/>
  <c r="J22" i="1" a="1"/>
  <c r="J22" i="1" s="1"/>
  <c r="B18" i="1" a="1"/>
  <c r="B18" i="1" s="1"/>
  <c r="J18" i="1" a="1"/>
  <c r="J18" i="1" s="1"/>
  <c r="B14" i="1" a="1"/>
  <c r="B14" i="1" s="1"/>
  <c r="J14" i="1" a="1"/>
  <c r="J14" i="1" s="1"/>
  <c r="B10" i="1" a="1"/>
  <c r="B10" i="1" s="1"/>
  <c r="J10" i="1" a="1"/>
  <c r="J10" i="1" s="1"/>
  <c r="B6" i="1" a="1"/>
  <c r="B6" i="1" s="1"/>
  <c r="J6" i="1" a="1"/>
  <c r="J6" i="1" s="1"/>
  <c r="B2" i="1" a="1"/>
  <c r="B2" i="1" s="1"/>
  <c r="J2" i="1" a="1"/>
  <c r="J2" i="1" s="1"/>
  <c r="B64" i="1" a="1"/>
  <c r="B64" i="1" s="1"/>
  <c r="B58" i="1" a="1"/>
  <c r="B58" i="1" s="1"/>
  <c r="B51" i="1" a="1"/>
  <c r="B51" i="1" s="1"/>
  <c r="J51" i="1" a="1"/>
  <c r="J51" i="1" s="1"/>
  <c r="B47" i="1" a="1"/>
  <c r="B47" i="1" s="1"/>
  <c r="J47" i="1" a="1"/>
  <c r="J47" i="1" s="1"/>
  <c r="B43" i="1" a="1"/>
  <c r="B43" i="1" s="1"/>
  <c r="J43" i="1" a="1"/>
  <c r="J43" i="1" s="1"/>
  <c r="B39" i="1" a="1"/>
  <c r="B39" i="1" s="1"/>
  <c r="J39" i="1" a="1"/>
  <c r="J39" i="1" s="1"/>
  <c r="B35" i="1" a="1"/>
  <c r="B35" i="1" s="1"/>
  <c r="J35" i="1" a="1"/>
  <c r="J35" i="1" s="1"/>
  <c r="B31" i="1" a="1"/>
  <c r="B31" i="1" s="1"/>
  <c r="J31" i="1" a="1"/>
  <c r="J31" i="1" s="1"/>
  <c r="B27" i="1" a="1"/>
  <c r="B27" i="1" s="1"/>
  <c r="J27" i="1" a="1"/>
  <c r="J27" i="1" s="1"/>
  <c r="B23" i="1" a="1"/>
  <c r="B23" i="1" s="1"/>
  <c r="J23" i="1" a="1"/>
  <c r="J23" i="1" s="1"/>
  <c r="B19" i="1" a="1"/>
  <c r="B19" i="1" s="1"/>
  <c r="J19" i="1" a="1"/>
  <c r="J19" i="1" s="1"/>
  <c r="B15" i="1" a="1"/>
  <c r="B15" i="1" s="1"/>
  <c r="J15" i="1" a="1"/>
  <c r="J15" i="1" s="1"/>
  <c r="B11" i="1" a="1"/>
  <c r="B11" i="1" s="1"/>
  <c r="J11" i="1" a="1"/>
  <c r="J11" i="1" s="1"/>
  <c r="B7" i="1" a="1"/>
  <c r="B7" i="1" s="1"/>
  <c r="J7" i="1" a="1"/>
  <c r="J7" i="1" s="1"/>
  <c r="B3" i="1" a="1"/>
  <c r="B3" i="1" s="1"/>
  <c r="J3" i="1" a="1"/>
  <c r="J3" i="1" s="1"/>
  <c r="B52" i="1" a="1"/>
  <c r="B52" i="1" s="1"/>
  <c r="J52" i="1" a="1"/>
  <c r="J52" i="1" s="1"/>
  <c r="B48" i="1" a="1"/>
  <c r="B48" i="1" s="1"/>
  <c r="J48" i="1" a="1"/>
  <c r="J48" i="1" s="1"/>
  <c r="B44" i="1" a="1"/>
  <c r="B44" i="1" s="1"/>
  <c r="J44" i="1" a="1"/>
  <c r="J44" i="1" s="1"/>
  <c r="B40" i="1" a="1"/>
  <c r="B40" i="1" s="1"/>
  <c r="J40" i="1" a="1"/>
  <c r="J40" i="1" s="1"/>
  <c r="B36" i="1" a="1"/>
  <c r="B36" i="1" s="1"/>
  <c r="J36" i="1" a="1"/>
  <c r="J36" i="1" s="1"/>
  <c r="B32" i="1" a="1"/>
  <c r="B32" i="1" s="1"/>
  <c r="J32" i="1" a="1"/>
  <c r="J32" i="1" s="1"/>
  <c r="B28" i="1" a="1"/>
  <c r="B28" i="1" s="1"/>
  <c r="J28" i="1" a="1"/>
  <c r="J28" i="1" s="1"/>
  <c r="B24" i="1" a="1"/>
  <c r="B24" i="1" s="1"/>
  <c r="J24" i="1" a="1"/>
  <c r="J24" i="1" s="1"/>
  <c r="B20" i="1" a="1"/>
  <c r="B20" i="1" s="1"/>
  <c r="J20" i="1" a="1"/>
  <c r="J20" i="1" s="1"/>
  <c r="B16" i="1" a="1"/>
  <c r="B16" i="1" s="1"/>
  <c r="J16" i="1" a="1"/>
  <c r="J16" i="1" s="1"/>
  <c r="B12" i="1" a="1"/>
  <c r="B12" i="1" s="1"/>
  <c r="J12" i="1" a="1"/>
  <c r="J12" i="1" s="1"/>
  <c r="B8" i="1" a="1"/>
  <c r="B8" i="1" s="1"/>
  <c r="J8" i="1" a="1"/>
  <c r="J8" i="1" s="1"/>
  <c r="B4" i="1" a="1"/>
  <c r="B4" i="1" s="1"/>
  <c r="J4" i="1" a="1"/>
  <c r="J4" i="1" s="1"/>
  <c r="B54" i="1" a="1"/>
  <c r="B5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<sst xmlns="http://schemas.openxmlformats.org/spreadsheetml/2006/main" count="10" uniqueCount="10">
  <si>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Weekend</t>
  </si>
  <si>
    <t>Week of the Year</t>
  </si>
  <si>
    <t>Day of Week</t>
  </si>
  <si>
    <t>Month</t>
  </si>
  <si>
    <t>Start of Year</t>
  </si>
  <si>
    <t>Start of Quarter</t>
  </si>
  <si>
    <t>Start of Month</t>
  </si>
  <si>
    <t>Start of Week</t>
  </si>
  <si>
    <t>Day Name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</si>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</sst>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 vertical="top"/>
    </xf>
    <xf numFmtId="164" fontId="0" fillId="0" borderId="0" xfId="0" applyNumberFormat="1"/>
  </cellXfs>
  <cellStyles count="1">
    <cellStyle name="Normal" xfId="0" builtinId="0"/>
  </cellStyles>
  <dxfs count="7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64" formatCode="yyyy/mm/dd"/>
    </dxf>
    <dxf>
      <numFmt numFmtId="164" formatCode="yyyy/mm/dd"/>
    </dxf>
    <dxf>
      <numFmt numFmtId="164" formatCode="yyyy/mm/dd"/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D4AFC6-3AF7-4FB2-AFE7-E62C9A8002E1}" name="Table5" displayName="Table5" ref="A1:J527" totalsRowShown="0" headerRowDxfId="6">
  <autoFilter ref="A1:J527" xr:uid="{FFD5D5B5-BA6B-48BF-9A74-836DA530A500}"/>
  <tableColumns count="10">
    <tableColumn id="1" xr3:uid="{8ED9B09D-2F0B-403A-85D8-A5075525A559}" name="Date" dataDxfId="5"/>
    <tableColumn id="2" xr3:uid="{8FCDCA81-C3FD-4523-A892-94D412C0207E}" name="Day Name" dataDxfId="4">
      <calculatedColumnFormula array="1">_xlfn.IFS(H2=1,"Monday",H2=2,"Tuesday",H2=3,"Wednesday",H2=4,"Thursday",H2=5,"Friday",H2=6,"Saturday",H2=7,"Sunday")</calculatedColumnFormula>
    </tableColumn>
    <tableColumn id="3" xr3:uid="{1FCC4FBB-2CA3-48CC-9E1B-6B27CDD0A05D}" name="Start of Week" dataDxfId="3">
      <calculatedColumnFormula>A2-WEEKDAY(A2,2)+1</calculatedColumnFormula>
    </tableColumn>
    <tableColumn id="4" xr3:uid="{CB0CA3C1-0BA0-45F4-8921-CA6FFC943866}" name="Start of Month" dataDxfId="2">
      <calculatedColumnFormula>DATE(YEAR(A2),MONTH(A2),1)</calculatedColumnFormula>
    </tableColumn>
    <tableColumn id="5" xr3:uid="{1946029A-0E2D-4821-928A-18099E52C5BF}" name="Start of Quarter" dataDxfId="1">
      <calculatedColumnFormula array="1">DATE(YEAR(A2),_xlfn.IFS(MONTH(A2)&lt;=3,1,MONTH(A2)&lt;=6,4,MONTH(A2)&lt;=9,7,MONTH(A2)&lt;=12,10),1)</calculatedColumnFormula>
    </tableColumn>
    <tableColumn id="6" xr3:uid="{6CF9D912-50A2-4B66-ADAD-2C693D41AEAA}" name="Start of Year" dataDxfId="0">
      <calculatedColumnFormula>DATE(YEAR(A2),1,1)</calculatedColumnFormula>
    </tableColumn>
    <tableColumn id="7" xr3:uid="{3E5CD83C-B75B-4517-A1FA-9E3A553A37C8}" name="Month">
      <calculatedColumnFormula>MONTH(A2)</calculatedColumnFormula>
    </tableColumn>
    <tableColumn id="8" xr3:uid="{3D06B769-CD9A-4747-8BE9-ED1EB933A409}" name="Day of Week">
      <calculatedColumnFormula>WEEKDAY(A2,2)</calculatedColumnFormula>
    </tableColumn>
    <tableColumn id="9" xr3:uid="{F1AB705C-C49C-410C-A729-828C3F3A8C29}" name="Week of the Year">
      <calculatedColumnFormula>_xlfn.ISOWEEKNUM(A2)</calculatedColumnFormula>
    </tableColumn>
    <tableColumn id="10" xr3:uid="{C57250DB-D71B-4288-B831-A23FC56ECACB}" name="Weekend">
      <calculatedColumnFormula array="1">_xlfn.IFS(H2&lt;6,"Weekday",H2&gt;5,"Weekend")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D1BF4-5B6A-4450-B913-B864C433F93C}">
  <dimension ref="A1:J527"/>
  <sheetViews>
    <sheetView tabSelected="1" topLeftCell="A493" workbookViewId="0">
      <selection activeCell="L513" sqref="L513"/>
    </sheetView>
  </sheetViews>
  <sheetFormatPr defaultRowHeight="15" x14ac:dyDescent="0.25"/>
  <cols>
    <col min="1" max="1" width="10.42578125" style="1" bestFit="1" customWidth="1"/>
    <col min="2" max="2" width="12.28515625" style="1" customWidth="1"/>
    <col min="3" max="3" width="15.28515625" style="1" customWidth="1"/>
    <col min="4" max="4" width="15.85546875" style="1" customWidth="1"/>
    <col min="5" max="5" width="17" style="1" customWidth="1"/>
    <col min="6" max="6" width="14.140625" style="1" customWidth="1"/>
    <col min="7" max="7" width="8.85546875" customWidth="1"/>
    <col min="8" max="8" width="14.42578125" customWidth="1"/>
    <col min="9" max="9" width="18.42578125" customWidth="1"/>
    <col min="10" max="10" width="11.7109375" customWidth="1"/>
  </cols>
  <sheetData>
    <row r="1" spans="1:10" x14ac:dyDescent="0.25">
      <c r="A1" s="2" t="s">
        <v>9</v>
      </c>
      <c r="B1" s="2" t="s">
        <v>8</v>
      </c>
      <c r="C1" s="2" t="s">
        <v>7</v>
      </c>
      <c r="D1" s="2" t="s">
        <v>6</v>
      </c>
      <c r="E1" s="2" t="s">
        <v>5</v>
      </c>
      <c r="F1" s="2" t="s">
        <v>4</v>
      </c>
      <c r="G1" s="2" t="s">
        <v>3</v>
      </c>
      <c r="H1" t="s">
        <v>2</v>
      </c>
      <c r="I1" t="s">
        <v>1</v>
      </c>
      <c r="J1" s="2" t="s">
        <v>0</v>
      </c>
    </row>
    <row r="2" spans="1:10" x14ac:dyDescent="0.25">
      <c r="A2" s="1">
        <v>45292</v>
      </c>
      <c r="B2" s="1" t="str" cm="1">
        <f t="array" ref="B2">_xlfn.IFS(H2=1,"Monday",H2=2,"Tuesday",H2=3,"Wednesday",H2=4,"Thursday",H2=5,"Friday",H2=6,"Saturday",H2=7,"Sunday")</f>
        <v>Monday</v>
      </c>
      <c r="C2" s="1">
        <f t="shared" ref="C2:C65" si="0">A2-WEEKDAY(A2,2)+1</f>
        <v>45292</v>
      </c>
      <c r="D2" s="1">
        <f t="shared" ref="D2:D65" si="1">DATE(YEAR(A2),MONTH(A2),1)</f>
        <v>45292</v>
      </c>
      <c r="E2" s="1" cm="1">
        <f t="array" ref="E2">DATE(YEAR(A2),_xlfn.IFS(MONTH(A2)&lt;=3,1,MONTH(A2)&lt;=6,4,MONTH(A2)&lt;=9,7,MONTH(A2)&lt;=12,10),1)</f>
        <v>45292</v>
      </c>
      <c r="F2" s="1">
        <f t="shared" ref="F2:F65" si="2">DATE(YEAR(A2),1,1)</f>
        <v>45292</v>
      </c>
      <c r="G2">
        <f t="shared" ref="G2:G65" si="3">MONTH(A2)</f>
        <v>1</v>
      </c>
      <c r="H2">
        <f t="shared" ref="H2:H65" si="4">WEEKDAY(A2,2)</f>
        <v>1</v>
      </c>
      <c r="I2">
        <f t="shared" ref="I2:I65" si="5">_xlfn.ISOWEEKNUM(A2)</f>
        <v>1</v>
      </c>
      <c r="J2" t="str" cm="1">
        <f t="array" ref="J2">_xlfn.IFS(H2&lt;6,"Weekday",H2&gt;5,"Weekend")</f>
        <v>Weekday</v>
      </c>
    </row>
    <row r="3" spans="1:10" x14ac:dyDescent="0.25">
      <c r="A3" s="1">
        <v>45293</v>
      </c>
      <c r="B3" s="1" t="str" cm="1">
        <f t="array" ref="B3">_xlfn.IFS(H3=1,"Monday",H3=2,"Tuesday",H3=3,"Wednesday",H3=4,"Thursday",H3=5,"Friday",H3=6,"Saturday",H3=7,"Sunday")</f>
        <v>Tuesday</v>
      </c>
      <c r="C3" s="1">
        <f t="shared" si="0"/>
        <v>45292</v>
      </c>
      <c r="D3" s="1">
        <f t="shared" si="1"/>
        <v>45292</v>
      </c>
      <c r="E3" s="1" cm="1">
        <f t="array" ref="E3">DATE(YEAR(A3),_xlfn.IFS(MONTH(A3)&lt;=3,1,MONTH(A3)&lt;=6,4,MONTH(A3)&lt;=9,7,MONTH(A3)&lt;=12,10),1)</f>
        <v>45292</v>
      </c>
      <c r="F3" s="1">
        <f t="shared" si="2"/>
        <v>45292</v>
      </c>
      <c r="G3">
        <f t="shared" si="3"/>
        <v>1</v>
      </c>
      <c r="H3">
        <f t="shared" si="4"/>
        <v>2</v>
      </c>
      <c r="I3">
        <f t="shared" si="5"/>
        <v>1</v>
      </c>
      <c r="J3" t="str" cm="1">
        <f t="array" ref="J3">_xlfn.IFS(H3&lt;6,"Weekday",H3&gt;5,"Weekend")</f>
        <v>Weekday</v>
      </c>
    </row>
    <row r="4" spans="1:10" x14ac:dyDescent="0.25">
      <c r="A4" s="1">
        <v>45294</v>
      </c>
      <c r="B4" s="1" t="str" cm="1">
        <f t="array" ref="B4">_xlfn.IFS(H4=1,"Monday",H4=2,"Tuesday",H4=3,"Wednesday",H4=4,"Thursday",H4=5,"Friday",H4=6,"Saturday",H4=7,"Sunday")</f>
        <v>Wednesday</v>
      </c>
      <c r="C4" s="1">
        <f t="shared" si="0"/>
        <v>45292</v>
      </c>
      <c r="D4" s="1">
        <f t="shared" si="1"/>
        <v>45292</v>
      </c>
      <c r="E4" s="1" cm="1">
        <f t="array" ref="E4">DATE(YEAR(A4),_xlfn.IFS(MONTH(A4)&lt;=3,1,MONTH(A4)&lt;=6,4,MONTH(A4)&lt;=9,7,MONTH(A4)&lt;=12,10),1)</f>
        <v>45292</v>
      </c>
      <c r="F4" s="1">
        <f t="shared" si="2"/>
        <v>45292</v>
      </c>
      <c r="G4">
        <f t="shared" si="3"/>
        <v>1</v>
      </c>
      <c r="H4">
        <f t="shared" si="4"/>
        <v>3</v>
      </c>
      <c r="I4">
        <f t="shared" si="5"/>
        <v>1</v>
      </c>
      <c r="J4" t="str" cm="1">
        <f t="array" ref="J4">_xlfn.IFS(H4&lt;6,"Weekday",H4&gt;5,"Weekend")</f>
        <v>Weekday</v>
      </c>
    </row>
    <row r="5" spans="1:10" x14ac:dyDescent="0.25">
      <c r="A5" s="1">
        <v>45295</v>
      </c>
      <c r="B5" s="1" t="str" cm="1">
        <f t="array" ref="B5">_xlfn.IFS(H5=1,"Monday",H5=2,"Tuesday",H5=3,"Wednesday",H5=4,"Thursday",H5=5,"Friday",H5=6,"Saturday",H5=7,"Sunday")</f>
        <v>Thursday</v>
      </c>
      <c r="C5" s="1">
        <f t="shared" si="0"/>
        <v>45292</v>
      </c>
      <c r="D5" s="1">
        <f t="shared" si="1"/>
        <v>45292</v>
      </c>
      <c r="E5" s="1" cm="1">
        <f t="array" ref="E5">DATE(YEAR(A5),_xlfn.IFS(MONTH(A5)&lt;=3,1,MONTH(A5)&lt;=6,4,MONTH(A5)&lt;=9,7,MONTH(A5)&lt;=12,10),1)</f>
        <v>45292</v>
      </c>
      <c r="F5" s="1">
        <f t="shared" si="2"/>
        <v>45292</v>
      </c>
      <c r="G5">
        <f t="shared" si="3"/>
        <v>1</v>
      </c>
      <c r="H5">
        <f t="shared" si="4"/>
        <v>4</v>
      </c>
      <c r="I5">
        <f t="shared" si="5"/>
        <v>1</v>
      </c>
      <c r="J5" t="str" cm="1">
        <f t="array" ref="J5">_xlfn.IFS(H5&lt;6,"Weekday",H5&gt;5,"Weekend")</f>
        <v>Weekday</v>
      </c>
    </row>
    <row r="6" spans="1:10" x14ac:dyDescent="0.25">
      <c r="A6" s="1">
        <v>45296</v>
      </c>
      <c r="B6" s="1" t="str" cm="1">
        <f t="array" ref="B6">_xlfn.IFS(H6=1,"Monday",H6=2,"Tuesday",H6=3,"Wednesday",H6=4,"Thursday",H6=5,"Friday",H6=6,"Saturday",H6=7,"Sunday")</f>
        <v>Friday</v>
      </c>
      <c r="C6" s="1">
        <f t="shared" si="0"/>
        <v>45292</v>
      </c>
      <c r="D6" s="1">
        <f t="shared" si="1"/>
        <v>45292</v>
      </c>
      <c r="E6" s="1" cm="1">
        <f t="array" ref="E6">DATE(YEAR(A6),_xlfn.IFS(MONTH(A6)&lt;=3,1,MONTH(A6)&lt;=6,4,MONTH(A6)&lt;=9,7,MONTH(A6)&lt;=12,10),1)</f>
        <v>45292</v>
      </c>
      <c r="F6" s="1">
        <f t="shared" si="2"/>
        <v>45292</v>
      </c>
      <c r="G6">
        <f t="shared" si="3"/>
        <v>1</v>
      </c>
      <c r="H6">
        <f t="shared" si="4"/>
        <v>5</v>
      </c>
      <c r="I6">
        <f t="shared" si="5"/>
        <v>1</v>
      </c>
      <c r="J6" t="str" cm="1">
        <f t="array" ref="J6">_xlfn.IFS(H6&lt;6,"Weekday",H6&gt;5,"Weekend")</f>
        <v>Weekday</v>
      </c>
    </row>
    <row r="7" spans="1:10" x14ac:dyDescent="0.25">
      <c r="A7" s="1">
        <v>45297</v>
      </c>
      <c r="B7" s="1" t="str" cm="1">
        <f t="array" ref="B7">_xlfn.IFS(H7=1,"Monday",H7=2,"Tuesday",H7=3,"Wednesday",H7=4,"Thursday",H7=5,"Friday",H7=6,"Saturday",H7=7,"Sunday")</f>
        <v>Saturday</v>
      </c>
      <c r="C7" s="1">
        <f t="shared" si="0"/>
        <v>45292</v>
      </c>
      <c r="D7" s="1">
        <f t="shared" si="1"/>
        <v>45292</v>
      </c>
      <c r="E7" s="1" cm="1">
        <f t="array" ref="E7">DATE(YEAR(A7),_xlfn.IFS(MONTH(A7)&lt;=3,1,MONTH(A7)&lt;=6,4,MONTH(A7)&lt;=9,7,MONTH(A7)&lt;=12,10),1)</f>
        <v>45292</v>
      </c>
      <c r="F7" s="1">
        <f t="shared" si="2"/>
        <v>45292</v>
      </c>
      <c r="G7">
        <f t="shared" si="3"/>
        <v>1</v>
      </c>
      <c r="H7">
        <f t="shared" si="4"/>
        <v>6</v>
      </c>
      <c r="I7">
        <f t="shared" si="5"/>
        <v>1</v>
      </c>
      <c r="J7" t="str" cm="1">
        <f t="array" ref="J7">_xlfn.IFS(H7&lt;6,"Weekday",H7&gt;5,"Weekend")</f>
        <v>Weekend</v>
      </c>
    </row>
    <row r="8" spans="1:10" x14ac:dyDescent="0.25">
      <c r="A8" s="1">
        <v>45298</v>
      </c>
      <c r="B8" s="1" t="str" cm="1">
        <f t="array" ref="B8">_xlfn.IFS(H8=1,"Monday",H8=2,"Tuesday",H8=3,"Wednesday",H8=4,"Thursday",H8=5,"Friday",H8=6,"Saturday",H8=7,"Sunday")</f>
        <v>Sunday</v>
      </c>
      <c r="C8" s="1">
        <f t="shared" si="0"/>
        <v>45292</v>
      </c>
      <c r="D8" s="1">
        <f t="shared" si="1"/>
        <v>45292</v>
      </c>
      <c r="E8" s="1" cm="1">
        <f t="array" ref="E8">DATE(YEAR(A8),_xlfn.IFS(MONTH(A8)&lt;=3,1,MONTH(A8)&lt;=6,4,MONTH(A8)&lt;=9,7,MONTH(A8)&lt;=12,10),1)</f>
        <v>45292</v>
      </c>
      <c r="F8" s="1">
        <f t="shared" si="2"/>
        <v>45292</v>
      </c>
      <c r="G8">
        <f t="shared" si="3"/>
        <v>1</v>
      </c>
      <c r="H8">
        <f t="shared" si="4"/>
        <v>7</v>
      </c>
      <c r="I8">
        <f t="shared" si="5"/>
        <v>1</v>
      </c>
      <c r="J8" t="str" cm="1">
        <f t="array" ref="J8">_xlfn.IFS(H8&lt;6,"Weekday",H8&gt;5,"Weekend")</f>
        <v>Weekend</v>
      </c>
    </row>
    <row r="9" spans="1:10" x14ac:dyDescent="0.25">
      <c r="A9" s="1">
        <v>45299</v>
      </c>
      <c r="B9" s="1" t="str" cm="1">
        <f t="array" ref="B9">_xlfn.IFS(H9=1,"Monday",H9=2,"Tuesday",H9=3,"Wednesday",H9=4,"Thursday",H9=5,"Friday",H9=6,"Saturday",H9=7,"Sunday")</f>
        <v>Monday</v>
      </c>
      <c r="C9" s="1">
        <f t="shared" si="0"/>
        <v>45299</v>
      </c>
      <c r="D9" s="1">
        <f t="shared" si="1"/>
        <v>45292</v>
      </c>
      <c r="E9" s="1" cm="1">
        <f t="array" ref="E9">DATE(YEAR(A9),_xlfn.IFS(MONTH(A9)&lt;=3,1,MONTH(A9)&lt;=6,4,MONTH(A9)&lt;=9,7,MONTH(A9)&lt;=12,10),1)</f>
        <v>45292</v>
      </c>
      <c r="F9" s="1">
        <f t="shared" si="2"/>
        <v>45292</v>
      </c>
      <c r="G9">
        <f t="shared" si="3"/>
        <v>1</v>
      </c>
      <c r="H9">
        <f t="shared" si="4"/>
        <v>1</v>
      </c>
      <c r="I9">
        <f t="shared" si="5"/>
        <v>2</v>
      </c>
      <c r="J9" t="str" cm="1">
        <f t="array" ref="J9">_xlfn.IFS(H9&lt;6,"Weekday",H9&gt;5,"Weekend")</f>
        <v>Weekday</v>
      </c>
    </row>
    <row r="10" spans="1:10" x14ac:dyDescent="0.25">
      <c r="A10" s="1">
        <v>45300</v>
      </c>
      <c r="B10" s="1" t="str" cm="1">
        <f t="array" ref="B10">_xlfn.IFS(H10=1,"Monday",H10=2,"Tuesday",H10=3,"Wednesday",H10=4,"Thursday",H10=5,"Friday",H10=6,"Saturday",H10=7,"Sunday")</f>
        <v>Tuesday</v>
      </c>
      <c r="C10" s="1">
        <f t="shared" si="0"/>
        <v>45299</v>
      </c>
      <c r="D10" s="1">
        <f t="shared" si="1"/>
        <v>45292</v>
      </c>
      <c r="E10" s="1" cm="1">
        <f t="array" ref="E10">DATE(YEAR(A10),_xlfn.IFS(MONTH(A10)&lt;=3,1,MONTH(A10)&lt;=6,4,MONTH(A10)&lt;=9,7,MONTH(A10)&lt;=12,10),1)</f>
        <v>45292</v>
      </c>
      <c r="F10" s="1">
        <f t="shared" si="2"/>
        <v>45292</v>
      </c>
      <c r="G10">
        <f t="shared" si="3"/>
        <v>1</v>
      </c>
      <c r="H10">
        <f t="shared" si="4"/>
        <v>2</v>
      </c>
      <c r="I10">
        <f t="shared" si="5"/>
        <v>2</v>
      </c>
      <c r="J10" t="str" cm="1">
        <f t="array" ref="J10">_xlfn.IFS(H10&lt;6,"Weekday",H10&gt;5,"Weekend")</f>
        <v>Weekday</v>
      </c>
    </row>
    <row r="11" spans="1:10" x14ac:dyDescent="0.25">
      <c r="A11" s="1">
        <v>45301</v>
      </c>
      <c r="B11" s="1" t="str" cm="1">
        <f t="array" ref="B11">_xlfn.IFS(H11=1,"Monday",H11=2,"Tuesday",H11=3,"Wednesday",H11=4,"Thursday",H11=5,"Friday",H11=6,"Saturday",H11=7,"Sunday")</f>
        <v>Wednesday</v>
      </c>
      <c r="C11" s="1">
        <f t="shared" si="0"/>
        <v>45299</v>
      </c>
      <c r="D11" s="1">
        <f t="shared" si="1"/>
        <v>45292</v>
      </c>
      <c r="E11" s="1" cm="1">
        <f t="array" ref="E11">DATE(YEAR(A11),_xlfn.IFS(MONTH(A11)&lt;=3,1,MONTH(A11)&lt;=6,4,MONTH(A11)&lt;=9,7,MONTH(A11)&lt;=12,10),1)</f>
        <v>45292</v>
      </c>
      <c r="F11" s="1">
        <f t="shared" si="2"/>
        <v>45292</v>
      </c>
      <c r="G11">
        <f t="shared" si="3"/>
        <v>1</v>
      </c>
      <c r="H11">
        <f t="shared" si="4"/>
        <v>3</v>
      </c>
      <c r="I11">
        <f t="shared" si="5"/>
        <v>2</v>
      </c>
      <c r="J11" t="str" cm="1">
        <f t="array" ref="J11">_xlfn.IFS(H11&lt;6,"Weekday",H11&gt;5,"Weekend")</f>
        <v>Weekday</v>
      </c>
    </row>
    <row r="12" spans="1:10" x14ac:dyDescent="0.25">
      <c r="A12" s="1">
        <v>45302</v>
      </c>
      <c r="B12" s="1" t="str" cm="1">
        <f t="array" ref="B12">_xlfn.IFS(H12=1,"Monday",H12=2,"Tuesday",H12=3,"Wednesday",H12=4,"Thursday",H12=5,"Friday",H12=6,"Saturday",H12=7,"Sunday")</f>
        <v>Thursday</v>
      </c>
      <c r="C12" s="1">
        <f t="shared" si="0"/>
        <v>45299</v>
      </c>
      <c r="D12" s="1">
        <f t="shared" si="1"/>
        <v>45292</v>
      </c>
      <c r="E12" s="1" cm="1">
        <f t="array" ref="E12">DATE(YEAR(A12),_xlfn.IFS(MONTH(A12)&lt;=3,1,MONTH(A12)&lt;=6,4,MONTH(A12)&lt;=9,7,MONTH(A12)&lt;=12,10),1)</f>
        <v>45292</v>
      </c>
      <c r="F12" s="1">
        <f t="shared" si="2"/>
        <v>45292</v>
      </c>
      <c r="G12">
        <f t="shared" si="3"/>
        <v>1</v>
      </c>
      <c r="H12">
        <f t="shared" si="4"/>
        <v>4</v>
      </c>
      <c r="I12">
        <f t="shared" si="5"/>
        <v>2</v>
      </c>
      <c r="J12" t="str" cm="1">
        <f t="array" ref="J12">_xlfn.IFS(H12&lt;6,"Weekday",H12&gt;5,"Weekend")</f>
        <v>Weekday</v>
      </c>
    </row>
    <row r="13" spans="1:10" x14ac:dyDescent="0.25">
      <c r="A13" s="1">
        <v>45303</v>
      </c>
      <c r="B13" s="1" t="str" cm="1">
        <f t="array" ref="B13">_xlfn.IFS(H13=1,"Monday",H13=2,"Tuesday",H13=3,"Wednesday",H13=4,"Thursday",H13=5,"Friday",H13=6,"Saturday",H13=7,"Sunday")</f>
        <v>Friday</v>
      </c>
      <c r="C13" s="1">
        <f t="shared" si="0"/>
        <v>45299</v>
      </c>
      <c r="D13" s="1">
        <f t="shared" si="1"/>
        <v>45292</v>
      </c>
      <c r="E13" s="1" cm="1">
        <f t="array" ref="E13">DATE(YEAR(A13),_xlfn.IFS(MONTH(A13)&lt;=3,1,MONTH(A13)&lt;=6,4,MONTH(A13)&lt;=9,7,MONTH(A13)&lt;=12,10),1)</f>
        <v>45292</v>
      </c>
      <c r="F13" s="1">
        <f t="shared" si="2"/>
        <v>45292</v>
      </c>
      <c r="G13">
        <f t="shared" si="3"/>
        <v>1</v>
      </c>
      <c r="H13">
        <f t="shared" si="4"/>
        <v>5</v>
      </c>
      <c r="I13">
        <f t="shared" si="5"/>
        <v>2</v>
      </c>
      <c r="J13" t="str" cm="1">
        <f t="array" ref="J13">_xlfn.IFS(H13&lt;6,"Weekday",H13&gt;5,"Weekend")</f>
        <v>Weekday</v>
      </c>
    </row>
    <row r="14" spans="1:10" x14ac:dyDescent="0.25">
      <c r="A14" s="1">
        <v>45304</v>
      </c>
      <c r="B14" s="1" t="str" cm="1">
        <f t="array" ref="B14">_xlfn.IFS(H14=1,"Monday",H14=2,"Tuesday",H14=3,"Wednesday",H14=4,"Thursday",H14=5,"Friday",H14=6,"Saturday",H14=7,"Sunday")</f>
        <v>Saturday</v>
      </c>
      <c r="C14" s="1">
        <f t="shared" si="0"/>
        <v>45299</v>
      </c>
      <c r="D14" s="1">
        <f t="shared" si="1"/>
        <v>45292</v>
      </c>
      <c r="E14" s="1" cm="1">
        <f t="array" ref="E14">DATE(YEAR(A14),_xlfn.IFS(MONTH(A14)&lt;=3,1,MONTH(A14)&lt;=6,4,MONTH(A14)&lt;=9,7,MONTH(A14)&lt;=12,10),1)</f>
        <v>45292</v>
      </c>
      <c r="F14" s="1">
        <f t="shared" si="2"/>
        <v>45292</v>
      </c>
      <c r="G14">
        <f t="shared" si="3"/>
        <v>1</v>
      </c>
      <c r="H14">
        <f t="shared" si="4"/>
        <v>6</v>
      </c>
      <c r="I14">
        <f t="shared" si="5"/>
        <v>2</v>
      </c>
      <c r="J14" t="str" cm="1">
        <f t="array" ref="J14">_xlfn.IFS(H14&lt;6,"Weekday",H14&gt;5,"Weekend")</f>
        <v>Weekend</v>
      </c>
    </row>
    <row r="15" spans="1:10" x14ac:dyDescent="0.25">
      <c r="A15" s="1">
        <v>45305</v>
      </c>
      <c r="B15" s="1" t="str" cm="1">
        <f t="array" ref="B15">_xlfn.IFS(H15=1,"Monday",H15=2,"Tuesday",H15=3,"Wednesday",H15=4,"Thursday",H15=5,"Friday",H15=6,"Saturday",H15=7,"Sunday")</f>
        <v>Sunday</v>
      </c>
      <c r="C15" s="1">
        <f t="shared" si="0"/>
        <v>45299</v>
      </c>
      <c r="D15" s="1">
        <f t="shared" si="1"/>
        <v>45292</v>
      </c>
      <c r="E15" s="1" cm="1">
        <f t="array" ref="E15">DATE(YEAR(A15),_xlfn.IFS(MONTH(A15)&lt;=3,1,MONTH(A15)&lt;=6,4,MONTH(A15)&lt;=9,7,MONTH(A15)&lt;=12,10),1)</f>
        <v>45292</v>
      </c>
      <c r="F15" s="1">
        <f t="shared" si="2"/>
        <v>45292</v>
      </c>
      <c r="G15">
        <f t="shared" si="3"/>
        <v>1</v>
      </c>
      <c r="H15">
        <f t="shared" si="4"/>
        <v>7</v>
      </c>
      <c r="I15">
        <f t="shared" si="5"/>
        <v>2</v>
      </c>
      <c r="J15" t="str" cm="1">
        <f t="array" ref="J15">_xlfn.IFS(H15&lt;6,"Weekday",H15&gt;5,"Weekend")</f>
        <v>Weekend</v>
      </c>
    </row>
    <row r="16" spans="1:10" x14ac:dyDescent="0.25">
      <c r="A16" s="1">
        <v>45306</v>
      </c>
      <c r="B16" s="1" t="str" cm="1">
        <f t="array" ref="B16">_xlfn.IFS(H16=1,"Monday",H16=2,"Tuesday",H16=3,"Wednesday",H16=4,"Thursday",H16=5,"Friday",H16=6,"Saturday",H16=7,"Sunday")</f>
        <v>Monday</v>
      </c>
      <c r="C16" s="1">
        <f t="shared" si="0"/>
        <v>45306</v>
      </c>
      <c r="D16" s="1">
        <f t="shared" si="1"/>
        <v>45292</v>
      </c>
      <c r="E16" s="1" cm="1">
        <f t="array" ref="E16">DATE(YEAR(A16),_xlfn.IFS(MONTH(A16)&lt;=3,1,MONTH(A16)&lt;=6,4,MONTH(A16)&lt;=9,7,MONTH(A16)&lt;=12,10),1)</f>
        <v>45292</v>
      </c>
      <c r="F16" s="1">
        <f t="shared" si="2"/>
        <v>45292</v>
      </c>
      <c r="G16">
        <f t="shared" si="3"/>
        <v>1</v>
      </c>
      <c r="H16">
        <f t="shared" si="4"/>
        <v>1</v>
      </c>
      <c r="I16">
        <f t="shared" si="5"/>
        <v>3</v>
      </c>
      <c r="J16" t="str" cm="1">
        <f t="array" ref="J16">_xlfn.IFS(H16&lt;6,"Weekday",H16&gt;5,"Weekend")</f>
        <v>Weekday</v>
      </c>
    </row>
    <row r="17" spans="1:10" x14ac:dyDescent="0.25">
      <c r="A17" s="1">
        <v>45307</v>
      </c>
      <c r="B17" s="1" t="str" cm="1">
        <f t="array" ref="B17">_xlfn.IFS(H17=1,"Monday",H17=2,"Tuesday",H17=3,"Wednesday",H17=4,"Thursday",H17=5,"Friday",H17=6,"Saturday",H17=7,"Sunday")</f>
        <v>Tuesday</v>
      </c>
      <c r="C17" s="1">
        <f t="shared" si="0"/>
        <v>45306</v>
      </c>
      <c r="D17" s="1">
        <f t="shared" si="1"/>
        <v>45292</v>
      </c>
      <c r="E17" s="1" cm="1">
        <f t="array" ref="E17">DATE(YEAR(A17),_xlfn.IFS(MONTH(A17)&lt;=3,1,MONTH(A17)&lt;=6,4,MONTH(A17)&lt;=9,7,MONTH(A17)&lt;=12,10),1)</f>
        <v>45292</v>
      </c>
      <c r="F17" s="1">
        <f t="shared" si="2"/>
        <v>45292</v>
      </c>
      <c r="G17">
        <f t="shared" si="3"/>
        <v>1</v>
      </c>
      <c r="H17">
        <f t="shared" si="4"/>
        <v>2</v>
      </c>
      <c r="I17">
        <f t="shared" si="5"/>
        <v>3</v>
      </c>
      <c r="J17" t="str" cm="1">
        <f t="array" ref="J17">_xlfn.IFS(H17&lt;6,"Weekday",H17&gt;5,"Weekend")</f>
        <v>Weekday</v>
      </c>
    </row>
    <row r="18" spans="1:10" x14ac:dyDescent="0.25">
      <c r="A18" s="1">
        <v>45308</v>
      </c>
      <c r="B18" s="1" t="str" cm="1">
        <f t="array" ref="B18">_xlfn.IFS(H18=1,"Monday",H18=2,"Tuesday",H18=3,"Wednesday",H18=4,"Thursday",H18=5,"Friday",H18=6,"Saturday",H18=7,"Sunday")</f>
        <v>Wednesday</v>
      </c>
      <c r="C18" s="1">
        <f t="shared" si="0"/>
        <v>45306</v>
      </c>
      <c r="D18" s="1">
        <f t="shared" si="1"/>
        <v>45292</v>
      </c>
      <c r="E18" s="1" cm="1">
        <f t="array" ref="E18">DATE(YEAR(A18),_xlfn.IFS(MONTH(A18)&lt;=3,1,MONTH(A18)&lt;=6,4,MONTH(A18)&lt;=9,7,MONTH(A18)&lt;=12,10),1)</f>
        <v>45292</v>
      </c>
      <c r="F18" s="1">
        <f t="shared" si="2"/>
        <v>45292</v>
      </c>
      <c r="G18">
        <f t="shared" si="3"/>
        <v>1</v>
      </c>
      <c r="H18">
        <f t="shared" si="4"/>
        <v>3</v>
      </c>
      <c r="I18">
        <f t="shared" si="5"/>
        <v>3</v>
      </c>
      <c r="J18" t="str" cm="1">
        <f t="array" ref="J18">_xlfn.IFS(H18&lt;6,"Weekday",H18&gt;5,"Weekend")</f>
        <v>Weekday</v>
      </c>
    </row>
    <row r="19" spans="1:10" x14ac:dyDescent="0.25">
      <c r="A19" s="1">
        <v>45309</v>
      </c>
      <c r="B19" s="1" t="str" cm="1">
        <f t="array" ref="B19">_xlfn.IFS(H19=1,"Monday",H19=2,"Tuesday",H19=3,"Wednesday",H19=4,"Thursday",H19=5,"Friday",H19=6,"Saturday",H19=7,"Sunday")</f>
        <v>Thursday</v>
      </c>
      <c r="C19" s="1">
        <f t="shared" si="0"/>
        <v>45306</v>
      </c>
      <c r="D19" s="1">
        <f t="shared" si="1"/>
        <v>45292</v>
      </c>
      <c r="E19" s="1" cm="1">
        <f t="array" ref="E19">DATE(YEAR(A19),_xlfn.IFS(MONTH(A19)&lt;=3,1,MONTH(A19)&lt;=6,4,MONTH(A19)&lt;=9,7,MONTH(A19)&lt;=12,10),1)</f>
        <v>45292</v>
      </c>
      <c r="F19" s="1">
        <f t="shared" si="2"/>
        <v>45292</v>
      </c>
      <c r="G19">
        <f t="shared" si="3"/>
        <v>1</v>
      </c>
      <c r="H19">
        <f t="shared" si="4"/>
        <v>4</v>
      </c>
      <c r="I19">
        <f t="shared" si="5"/>
        <v>3</v>
      </c>
      <c r="J19" t="str" cm="1">
        <f t="array" ref="J19">_xlfn.IFS(H19&lt;6,"Weekday",H19&gt;5,"Weekend")</f>
        <v>Weekday</v>
      </c>
    </row>
    <row r="20" spans="1:10" x14ac:dyDescent="0.25">
      <c r="A20" s="1">
        <v>45310</v>
      </c>
      <c r="B20" s="1" t="str" cm="1">
        <f t="array" ref="B20">_xlfn.IFS(H20=1,"Monday",H20=2,"Tuesday",H20=3,"Wednesday",H20=4,"Thursday",H20=5,"Friday",H20=6,"Saturday",H20=7,"Sunday")</f>
        <v>Friday</v>
      </c>
      <c r="C20" s="1">
        <f t="shared" si="0"/>
        <v>45306</v>
      </c>
      <c r="D20" s="1">
        <f t="shared" si="1"/>
        <v>45292</v>
      </c>
      <c r="E20" s="1" cm="1">
        <f t="array" ref="E20">DATE(YEAR(A20),_xlfn.IFS(MONTH(A20)&lt;=3,1,MONTH(A20)&lt;=6,4,MONTH(A20)&lt;=9,7,MONTH(A20)&lt;=12,10),1)</f>
        <v>45292</v>
      </c>
      <c r="F20" s="1">
        <f t="shared" si="2"/>
        <v>45292</v>
      </c>
      <c r="G20">
        <f t="shared" si="3"/>
        <v>1</v>
      </c>
      <c r="H20">
        <f t="shared" si="4"/>
        <v>5</v>
      </c>
      <c r="I20">
        <f t="shared" si="5"/>
        <v>3</v>
      </c>
      <c r="J20" t="str" cm="1">
        <f t="array" ref="J20">_xlfn.IFS(H20&lt;6,"Weekday",H20&gt;5,"Weekend")</f>
        <v>Weekday</v>
      </c>
    </row>
    <row r="21" spans="1:10" x14ac:dyDescent="0.25">
      <c r="A21" s="1">
        <v>45311</v>
      </c>
      <c r="B21" s="1" t="str" cm="1">
        <f t="array" ref="B21">_xlfn.IFS(H21=1,"Monday",H21=2,"Tuesday",H21=3,"Wednesday",H21=4,"Thursday",H21=5,"Friday",H21=6,"Saturday",H21=7,"Sunday")</f>
        <v>Saturday</v>
      </c>
      <c r="C21" s="1">
        <f t="shared" si="0"/>
        <v>45306</v>
      </c>
      <c r="D21" s="1">
        <f t="shared" si="1"/>
        <v>45292</v>
      </c>
      <c r="E21" s="1" cm="1">
        <f t="array" ref="E21">DATE(YEAR(A21),_xlfn.IFS(MONTH(A21)&lt;=3,1,MONTH(A21)&lt;=6,4,MONTH(A21)&lt;=9,7,MONTH(A21)&lt;=12,10),1)</f>
        <v>45292</v>
      </c>
      <c r="F21" s="1">
        <f t="shared" si="2"/>
        <v>45292</v>
      </c>
      <c r="G21">
        <f t="shared" si="3"/>
        <v>1</v>
      </c>
      <c r="H21">
        <f t="shared" si="4"/>
        <v>6</v>
      </c>
      <c r="I21">
        <f t="shared" si="5"/>
        <v>3</v>
      </c>
      <c r="J21" t="str" cm="1">
        <f t="array" ref="J21">_xlfn.IFS(H21&lt;6,"Weekday",H21&gt;5,"Weekend")</f>
        <v>Weekend</v>
      </c>
    </row>
    <row r="22" spans="1:10" x14ac:dyDescent="0.25">
      <c r="A22" s="1">
        <v>45312</v>
      </c>
      <c r="B22" s="1" t="str" cm="1">
        <f t="array" ref="B22">_xlfn.IFS(H22=1,"Monday",H22=2,"Tuesday",H22=3,"Wednesday",H22=4,"Thursday",H22=5,"Friday",H22=6,"Saturday",H22=7,"Sunday")</f>
        <v>Sunday</v>
      </c>
      <c r="C22" s="1">
        <f t="shared" si="0"/>
        <v>45306</v>
      </c>
      <c r="D22" s="1">
        <f t="shared" si="1"/>
        <v>45292</v>
      </c>
      <c r="E22" s="1" cm="1">
        <f t="array" ref="E22">DATE(YEAR(A22),_xlfn.IFS(MONTH(A22)&lt;=3,1,MONTH(A22)&lt;=6,4,MONTH(A22)&lt;=9,7,MONTH(A22)&lt;=12,10),1)</f>
        <v>45292</v>
      </c>
      <c r="F22" s="1">
        <f t="shared" si="2"/>
        <v>45292</v>
      </c>
      <c r="G22">
        <f t="shared" si="3"/>
        <v>1</v>
      </c>
      <c r="H22">
        <f t="shared" si="4"/>
        <v>7</v>
      </c>
      <c r="I22">
        <f t="shared" si="5"/>
        <v>3</v>
      </c>
      <c r="J22" t="str" cm="1">
        <f t="array" ref="J22">_xlfn.IFS(H22&lt;6,"Weekday",H22&gt;5,"Weekend")</f>
        <v>Weekend</v>
      </c>
    </row>
    <row r="23" spans="1:10" x14ac:dyDescent="0.25">
      <c r="A23" s="1">
        <v>45313</v>
      </c>
      <c r="B23" s="1" t="str" cm="1">
        <f t="array" ref="B23">_xlfn.IFS(H23=1,"Monday",H23=2,"Tuesday",H23=3,"Wednesday",H23=4,"Thursday",H23=5,"Friday",H23=6,"Saturday",H23=7,"Sunday")</f>
        <v>Monday</v>
      </c>
      <c r="C23" s="1">
        <f t="shared" si="0"/>
        <v>45313</v>
      </c>
      <c r="D23" s="1">
        <f t="shared" si="1"/>
        <v>45292</v>
      </c>
      <c r="E23" s="1" cm="1">
        <f t="array" ref="E23">DATE(YEAR(A23),_xlfn.IFS(MONTH(A23)&lt;=3,1,MONTH(A23)&lt;=6,4,MONTH(A23)&lt;=9,7,MONTH(A23)&lt;=12,10),1)</f>
        <v>45292</v>
      </c>
      <c r="F23" s="1">
        <f t="shared" si="2"/>
        <v>45292</v>
      </c>
      <c r="G23">
        <f t="shared" si="3"/>
        <v>1</v>
      </c>
      <c r="H23">
        <f t="shared" si="4"/>
        <v>1</v>
      </c>
      <c r="I23">
        <f t="shared" si="5"/>
        <v>4</v>
      </c>
      <c r="J23" t="str" cm="1">
        <f t="array" ref="J23">_xlfn.IFS(H23&lt;6,"Weekday",H23&gt;5,"Weekend")</f>
        <v>Weekday</v>
      </c>
    </row>
    <row r="24" spans="1:10" x14ac:dyDescent="0.25">
      <c r="A24" s="1">
        <v>45314</v>
      </c>
      <c r="B24" s="1" t="str" cm="1">
        <f t="array" ref="B24">_xlfn.IFS(H24=1,"Monday",H24=2,"Tuesday",H24=3,"Wednesday",H24=4,"Thursday",H24=5,"Friday",H24=6,"Saturday",H24=7,"Sunday")</f>
        <v>Tuesday</v>
      </c>
      <c r="C24" s="1">
        <f t="shared" si="0"/>
        <v>45313</v>
      </c>
      <c r="D24" s="1">
        <f t="shared" si="1"/>
        <v>45292</v>
      </c>
      <c r="E24" s="1" cm="1">
        <f t="array" ref="E24">DATE(YEAR(A24),_xlfn.IFS(MONTH(A24)&lt;=3,1,MONTH(A24)&lt;=6,4,MONTH(A24)&lt;=9,7,MONTH(A24)&lt;=12,10),1)</f>
        <v>45292</v>
      </c>
      <c r="F24" s="1">
        <f t="shared" si="2"/>
        <v>45292</v>
      </c>
      <c r="G24">
        <f t="shared" si="3"/>
        <v>1</v>
      </c>
      <c r="H24">
        <f t="shared" si="4"/>
        <v>2</v>
      </c>
      <c r="I24">
        <f t="shared" si="5"/>
        <v>4</v>
      </c>
      <c r="J24" t="str" cm="1">
        <f t="array" ref="J24">_xlfn.IFS(H24&lt;6,"Weekday",H24&gt;5,"Weekend")</f>
        <v>Weekday</v>
      </c>
    </row>
    <row r="25" spans="1:10" x14ac:dyDescent="0.25">
      <c r="A25" s="1">
        <v>45315</v>
      </c>
      <c r="B25" s="1" t="str" cm="1">
        <f t="array" ref="B25">_xlfn.IFS(H25=1,"Monday",H25=2,"Tuesday",H25=3,"Wednesday",H25=4,"Thursday",H25=5,"Friday",H25=6,"Saturday",H25=7,"Sunday")</f>
        <v>Wednesday</v>
      </c>
      <c r="C25" s="1">
        <f t="shared" si="0"/>
        <v>45313</v>
      </c>
      <c r="D25" s="1">
        <f t="shared" si="1"/>
        <v>45292</v>
      </c>
      <c r="E25" s="1" cm="1">
        <f t="array" ref="E25">DATE(YEAR(A25),_xlfn.IFS(MONTH(A25)&lt;=3,1,MONTH(A25)&lt;=6,4,MONTH(A25)&lt;=9,7,MONTH(A25)&lt;=12,10),1)</f>
        <v>45292</v>
      </c>
      <c r="F25" s="1">
        <f t="shared" si="2"/>
        <v>45292</v>
      </c>
      <c r="G25">
        <f t="shared" si="3"/>
        <v>1</v>
      </c>
      <c r="H25">
        <f t="shared" si="4"/>
        <v>3</v>
      </c>
      <c r="I25">
        <f t="shared" si="5"/>
        <v>4</v>
      </c>
      <c r="J25" t="str" cm="1">
        <f t="array" ref="J25">_xlfn.IFS(H25&lt;6,"Weekday",H25&gt;5,"Weekend")</f>
        <v>Weekday</v>
      </c>
    </row>
    <row r="26" spans="1:10" x14ac:dyDescent="0.25">
      <c r="A26" s="1">
        <v>45316</v>
      </c>
      <c r="B26" s="1" t="str" cm="1">
        <f t="array" ref="B26">_xlfn.IFS(H26=1,"Monday",H26=2,"Tuesday",H26=3,"Wednesday",H26=4,"Thursday",H26=5,"Friday",H26=6,"Saturday",H26=7,"Sunday")</f>
        <v>Thursday</v>
      </c>
      <c r="C26" s="1">
        <f t="shared" si="0"/>
        <v>45313</v>
      </c>
      <c r="D26" s="1">
        <f t="shared" si="1"/>
        <v>45292</v>
      </c>
      <c r="E26" s="1" cm="1">
        <f t="array" ref="E26">DATE(YEAR(A26),_xlfn.IFS(MONTH(A26)&lt;=3,1,MONTH(A26)&lt;=6,4,MONTH(A26)&lt;=9,7,MONTH(A26)&lt;=12,10),1)</f>
        <v>45292</v>
      </c>
      <c r="F26" s="1">
        <f t="shared" si="2"/>
        <v>45292</v>
      </c>
      <c r="G26">
        <f t="shared" si="3"/>
        <v>1</v>
      </c>
      <c r="H26">
        <f t="shared" si="4"/>
        <v>4</v>
      </c>
      <c r="I26">
        <f t="shared" si="5"/>
        <v>4</v>
      </c>
      <c r="J26" t="str" cm="1">
        <f t="array" ref="J26">_xlfn.IFS(H26&lt;6,"Weekday",H26&gt;5,"Weekend")</f>
        <v>Weekday</v>
      </c>
    </row>
    <row r="27" spans="1:10" x14ac:dyDescent="0.25">
      <c r="A27" s="1">
        <v>45317</v>
      </c>
      <c r="B27" s="1" t="str" cm="1">
        <f t="array" ref="B27">_xlfn.IFS(H27=1,"Monday",H27=2,"Tuesday",H27=3,"Wednesday",H27=4,"Thursday",H27=5,"Friday",H27=6,"Saturday",H27=7,"Sunday")</f>
        <v>Friday</v>
      </c>
      <c r="C27" s="1">
        <f t="shared" si="0"/>
        <v>45313</v>
      </c>
      <c r="D27" s="1">
        <f t="shared" si="1"/>
        <v>45292</v>
      </c>
      <c r="E27" s="1" cm="1">
        <f t="array" ref="E27">DATE(YEAR(A27),_xlfn.IFS(MONTH(A27)&lt;=3,1,MONTH(A27)&lt;=6,4,MONTH(A27)&lt;=9,7,MONTH(A27)&lt;=12,10),1)</f>
        <v>45292</v>
      </c>
      <c r="F27" s="1">
        <f t="shared" si="2"/>
        <v>45292</v>
      </c>
      <c r="G27">
        <f t="shared" si="3"/>
        <v>1</v>
      </c>
      <c r="H27">
        <f t="shared" si="4"/>
        <v>5</v>
      </c>
      <c r="I27">
        <f t="shared" si="5"/>
        <v>4</v>
      </c>
      <c r="J27" t="str" cm="1">
        <f t="array" ref="J27">_xlfn.IFS(H27&lt;6,"Weekday",H27&gt;5,"Weekend")</f>
        <v>Weekday</v>
      </c>
    </row>
    <row r="28" spans="1:10" x14ac:dyDescent="0.25">
      <c r="A28" s="1">
        <v>45318</v>
      </c>
      <c r="B28" s="1" t="str" cm="1">
        <f t="array" ref="B28">_xlfn.IFS(H28=1,"Monday",H28=2,"Tuesday",H28=3,"Wednesday",H28=4,"Thursday",H28=5,"Friday",H28=6,"Saturday",H28=7,"Sunday")</f>
        <v>Saturday</v>
      </c>
      <c r="C28" s="1">
        <f t="shared" si="0"/>
        <v>45313</v>
      </c>
      <c r="D28" s="1">
        <f t="shared" si="1"/>
        <v>45292</v>
      </c>
      <c r="E28" s="1" cm="1">
        <f t="array" ref="E28">DATE(YEAR(A28),_xlfn.IFS(MONTH(A28)&lt;=3,1,MONTH(A28)&lt;=6,4,MONTH(A28)&lt;=9,7,MONTH(A28)&lt;=12,10),1)</f>
        <v>45292</v>
      </c>
      <c r="F28" s="1">
        <f t="shared" si="2"/>
        <v>45292</v>
      </c>
      <c r="G28">
        <f t="shared" si="3"/>
        <v>1</v>
      </c>
      <c r="H28">
        <f t="shared" si="4"/>
        <v>6</v>
      </c>
      <c r="I28">
        <f t="shared" si="5"/>
        <v>4</v>
      </c>
      <c r="J28" t="str" cm="1">
        <f t="array" ref="J28">_xlfn.IFS(H28&lt;6,"Weekday",H28&gt;5,"Weekend")</f>
        <v>Weekend</v>
      </c>
    </row>
    <row r="29" spans="1:10" x14ac:dyDescent="0.25">
      <c r="A29" s="1">
        <v>45319</v>
      </c>
      <c r="B29" s="1" t="str" cm="1">
        <f t="array" ref="B29">_xlfn.IFS(H29=1,"Monday",H29=2,"Tuesday",H29=3,"Wednesday",H29=4,"Thursday",H29=5,"Friday",H29=6,"Saturday",H29=7,"Sunday")</f>
        <v>Sunday</v>
      </c>
      <c r="C29" s="1">
        <f t="shared" si="0"/>
        <v>45313</v>
      </c>
      <c r="D29" s="1">
        <f t="shared" si="1"/>
        <v>45292</v>
      </c>
      <c r="E29" s="1" cm="1">
        <f t="array" ref="E29">DATE(YEAR(A29),_xlfn.IFS(MONTH(A29)&lt;=3,1,MONTH(A29)&lt;=6,4,MONTH(A29)&lt;=9,7,MONTH(A29)&lt;=12,10),1)</f>
        <v>45292</v>
      </c>
      <c r="F29" s="1">
        <f t="shared" si="2"/>
        <v>45292</v>
      </c>
      <c r="G29">
        <f t="shared" si="3"/>
        <v>1</v>
      </c>
      <c r="H29">
        <f t="shared" si="4"/>
        <v>7</v>
      </c>
      <c r="I29">
        <f t="shared" si="5"/>
        <v>4</v>
      </c>
      <c r="J29" t="str" cm="1">
        <f t="array" ref="J29">_xlfn.IFS(H29&lt;6,"Weekday",H29&gt;5,"Weekend")</f>
        <v>Weekend</v>
      </c>
    </row>
    <row r="30" spans="1:10" x14ac:dyDescent="0.25">
      <c r="A30" s="1">
        <v>45320</v>
      </c>
      <c r="B30" s="1" t="str" cm="1">
        <f t="array" ref="B30">_xlfn.IFS(H30=1,"Monday",H30=2,"Tuesday",H30=3,"Wednesday",H30=4,"Thursday",H30=5,"Friday",H30=6,"Saturday",H30=7,"Sunday")</f>
        <v>Monday</v>
      </c>
      <c r="C30" s="1">
        <f t="shared" si="0"/>
        <v>45320</v>
      </c>
      <c r="D30" s="1">
        <f t="shared" si="1"/>
        <v>45292</v>
      </c>
      <c r="E30" s="1" cm="1">
        <f t="array" ref="E30">DATE(YEAR(A30),_xlfn.IFS(MONTH(A30)&lt;=3,1,MONTH(A30)&lt;=6,4,MONTH(A30)&lt;=9,7,MONTH(A30)&lt;=12,10),1)</f>
        <v>45292</v>
      </c>
      <c r="F30" s="1">
        <f t="shared" si="2"/>
        <v>45292</v>
      </c>
      <c r="G30">
        <f t="shared" si="3"/>
        <v>1</v>
      </c>
      <c r="H30">
        <f t="shared" si="4"/>
        <v>1</v>
      </c>
      <c r="I30">
        <f t="shared" si="5"/>
        <v>5</v>
      </c>
      <c r="J30" t="str" cm="1">
        <f t="array" ref="J30">_xlfn.IFS(H30&lt;6,"Weekday",H30&gt;5,"Weekend")</f>
        <v>Weekday</v>
      </c>
    </row>
    <row r="31" spans="1:10" x14ac:dyDescent="0.25">
      <c r="A31" s="1">
        <v>45321</v>
      </c>
      <c r="B31" s="1" t="str" cm="1">
        <f t="array" ref="B31">_xlfn.IFS(H31=1,"Monday",H31=2,"Tuesday",H31=3,"Wednesday",H31=4,"Thursday",H31=5,"Friday",H31=6,"Saturday",H31=7,"Sunday")</f>
        <v>Tuesday</v>
      </c>
      <c r="C31" s="1">
        <f t="shared" si="0"/>
        <v>45320</v>
      </c>
      <c r="D31" s="1">
        <f t="shared" si="1"/>
        <v>45292</v>
      </c>
      <c r="E31" s="1" cm="1">
        <f t="array" ref="E31">DATE(YEAR(A31),_xlfn.IFS(MONTH(A31)&lt;=3,1,MONTH(A31)&lt;=6,4,MONTH(A31)&lt;=9,7,MONTH(A31)&lt;=12,10),1)</f>
        <v>45292</v>
      </c>
      <c r="F31" s="1">
        <f t="shared" si="2"/>
        <v>45292</v>
      </c>
      <c r="G31">
        <f t="shared" si="3"/>
        <v>1</v>
      </c>
      <c r="H31">
        <f t="shared" si="4"/>
        <v>2</v>
      </c>
      <c r="I31">
        <f t="shared" si="5"/>
        <v>5</v>
      </c>
      <c r="J31" t="str" cm="1">
        <f t="array" ref="J31">_xlfn.IFS(H31&lt;6,"Weekday",H31&gt;5,"Weekend")</f>
        <v>Weekday</v>
      </c>
    </row>
    <row r="32" spans="1:10" x14ac:dyDescent="0.25">
      <c r="A32" s="1">
        <v>45322</v>
      </c>
      <c r="B32" s="1" t="str" cm="1">
        <f t="array" ref="B32">_xlfn.IFS(H32=1,"Monday",H32=2,"Tuesday",H32=3,"Wednesday",H32=4,"Thursday",H32=5,"Friday",H32=6,"Saturday",H32=7,"Sunday")</f>
        <v>Wednesday</v>
      </c>
      <c r="C32" s="1">
        <f t="shared" si="0"/>
        <v>45320</v>
      </c>
      <c r="D32" s="1">
        <f t="shared" si="1"/>
        <v>45292</v>
      </c>
      <c r="E32" s="1" cm="1">
        <f t="array" ref="E32">DATE(YEAR(A32),_xlfn.IFS(MONTH(A32)&lt;=3,1,MONTH(A32)&lt;=6,4,MONTH(A32)&lt;=9,7,MONTH(A32)&lt;=12,10),1)</f>
        <v>45292</v>
      </c>
      <c r="F32" s="1">
        <f t="shared" si="2"/>
        <v>45292</v>
      </c>
      <c r="G32">
        <f t="shared" si="3"/>
        <v>1</v>
      </c>
      <c r="H32">
        <f t="shared" si="4"/>
        <v>3</v>
      </c>
      <c r="I32">
        <f t="shared" si="5"/>
        <v>5</v>
      </c>
      <c r="J32" t="str" cm="1">
        <f t="array" ref="J32">_xlfn.IFS(H32&lt;6,"Weekday",H32&gt;5,"Weekend")</f>
        <v>Weekday</v>
      </c>
    </row>
    <row r="33" spans="1:10" x14ac:dyDescent="0.25">
      <c r="A33" s="1">
        <v>45323</v>
      </c>
      <c r="B33" s="1" t="str" cm="1">
        <f t="array" ref="B33">_xlfn.IFS(H33=1,"Monday",H33=2,"Tuesday",H33=3,"Wednesday",H33=4,"Thursday",H33=5,"Friday",H33=6,"Saturday",H33=7,"Sunday")</f>
        <v>Thursday</v>
      </c>
      <c r="C33" s="1">
        <f t="shared" si="0"/>
        <v>45320</v>
      </c>
      <c r="D33" s="1">
        <f t="shared" si="1"/>
        <v>45323</v>
      </c>
      <c r="E33" s="1" cm="1">
        <f t="array" ref="E33">DATE(YEAR(A33),_xlfn.IFS(MONTH(A33)&lt;=3,1,MONTH(A33)&lt;=6,4,MONTH(A33)&lt;=9,7,MONTH(A33)&lt;=12,10),1)</f>
        <v>45292</v>
      </c>
      <c r="F33" s="1">
        <f t="shared" si="2"/>
        <v>45292</v>
      </c>
      <c r="G33">
        <f t="shared" si="3"/>
        <v>2</v>
      </c>
      <c r="H33">
        <f t="shared" si="4"/>
        <v>4</v>
      </c>
      <c r="I33">
        <f t="shared" si="5"/>
        <v>5</v>
      </c>
      <c r="J33" t="str" cm="1">
        <f t="array" ref="J33">_xlfn.IFS(H33&lt;6,"Weekday",H33&gt;5,"Weekend")</f>
        <v>Weekday</v>
      </c>
    </row>
    <row r="34" spans="1:10" x14ac:dyDescent="0.25">
      <c r="A34" s="1">
        <v>45324</v>
      </c>
      <c r="B34" s="1" t="str" cm="1">
        <f t="array" ref="B34">_xlfn.IFS(H34=1,"Monday",H34=2,"Tuesday",H34=3,"Wednesday",H34=4,"Thursday",H34=5,"Friday",H34=6,"Saturday",H34=7,"Sunday")</f>
        <v>Friday</v>
      </c>
      <c r="C34" s="1">
        <f t="shared" si="0"/>
        <v>45320</v>
      </c>
      <c r="D34" s="1">
        <f t="shared" si="1"/>
        <v>45323</v>
      </c>
      <c r="E34" s="1" cm="1">
        <f t="array" ref="E34">DATE(YEAR(A34),_xlfn.IFS(MONTH(A34)&lt;=3,1,MONTH(A34)&lt;=6,4,MONTH(A34)&lt;=9,7,MONTH(A34)&lt;=12,10),1)</f>
        <v>45292</v>
      </c>
      <c r="F34" s="1">
        <f t="shared" si="2"/>
        <v>45292</v>
      </c>
      <c r="G34">
        <f t="shared" si="3"/>
        <v>2</v>
      </c>
      <c r="H34">
        <f t="shared" si="4"/>
        <v>5</v>
      </c>
      <c r="I34">
        <f t="shared" si="5"/>
        <v>5</v>
      </c>
      <c r="J34" t="str" cm="1">
        <f t="array" ref="J34">_xlfn.IFS(H34&lt;6,"Weekday",H34&gt;5,"Weekend")</f>
        <v>Weekday</v>
      </c>
    </row>
    <row r="35" spans="1:10" x14ac:dyDescent="0.25">
      <c r="A35" s="1">
        <v>45325</v>
      </c>
      <c r="B35" s="1" t="str" cm="1">
        <f t="array" ref="B35">_xlfn.IFS(H35=1,"Monday",H35=2,"Tuesday",H35=3,"Wednesday",H35=4,"Thursday",H35=5,"Friday",H35=6,"Saturday",H35=7,"Sunday")</f>
        <v>Saturday</v>
      </c>
      <c r="C35" s="1">
        <f t="shared" si="0"/>
        <v>45320</v>
      </c>
      <c r="D35" s="1">
        <f t="shared" si="1"/>
        <v>45323</v>
      </c>
      <c r="E35" s="1" cm="1">
        <f t="array" ref="E35">DATE(YEAR(A35),_xlfn.IFS(MONTH(A35)&lt;=3,1,MONTH(A35)&lt;=6,4,MONTH(A35)&lt;=9,7,MONTH(A35)&lt;=12,10),1)</f>
        <v>45292</v>
      </c>
      <c r="F35" s="1">
        <f t="shared" si="2"/>
        <v>45292</v>
      </c>
      <c r="G35">
        <f t="shared" si="3"/>
        <v>2</v>
      </c>
      <c r="H35">
        <f t="shared" si="4"/>
        <v>6</v>
      </c>
      <c r="I35">
        <f t="shared" si="5"/>
        <v>5</v>
      </c>
      <c r="J35" t="str" cm="1">
        <f t="array" ref="J35">_xlfn.IFS(H35&lt;6,"Weekday",H35&gt;5,"Weekend")</f>
        <v>Weekend</v>
      </c>
    </row>
    <row r="36" spans="1:10" x14ac:dyDescent="0.25">
      <c r="A36" s="1">
        <v>45326</v>
      </c>
      <c r="B36" s="1" t="str" cm="1">
        <f t="array" ref="B36">_xlfn.IFS(H36=1,"Monday",H36=2,"Tuesday",H36=3,"Wednesday",H36=4,"Thursday",H36=5,"Friday",H36=6,"Saturday",H36=7,"Sunday")</f>
        <v>Sunday</v>
      </c>
      <c r="C36" s="1">
        <f t="shared" si="0"/>
        <v>45320</v>
      </c>
      <c r="D36" s="1">
        <f t="shared" si="1"/>
        <v>45323</v>
      </c>
      <c r="E36" s="1" cm="1">
        <f t="array" ref="E36">DATE(YEAR(A36),_xlfn.IFS(MONTH(A36)&lt;=3,1,MONTH(A36)&lt;=6,4,MONTH(A36)&lt;=9,7,MONTH(A36)&lt;=12,10),1)</f>
        <v>45292</v>
      </c>
      <c r="F36" s="1">
        <f t="shared" si="2"/>
        <v>45292</v>
      </c>
      <c r="G36">
        <f t="shared" si="3"/>
        <v>2</v>
      </c>
      <c r="H36">
        <f t="shared" si="4"/>
        <v>7</v>
      </c>
      <c r="I36">
        <f t="shared" si="5"/>
        <v>5</v>
      </c>
      <c r="J36" t="str" cm="1">
        <f t="array" ref="J36">_xlfn.IFS(H36&lt;6,"Weekday",H36&gt;5,"Weekend")</f>
        <v>Weekend</v>
      </c>
    </row>
    <row r="37" spans="1:10" x14ac:dyDescent="0.25">
      <c r="A37" s="1">
        <v>45327</v>
      </c>
      <c r="B37" s="1" t="str" cm="1">
        <f t="array" ref="B37">_xlfn.IFS(H37=1,"Monday",H37=2,"Tuesday",H37=3,"Wednesday",H37=4,"Thursday",H37=5,"Friday",H37=6,"Saturday",H37=7,"Sunday")</f>
        <v>Monday</v>
      </c>
      <c r="C37" s="1">
        <f t="shared" si="0"/>
        <v>45327</v>
      </c>
      <c r="D37" s="1">
        <f t="shared" si="1"/>
        <v>45323</v>
      </c>
      <c r="E37" s="1" cm="1">
        <f t="array" ref="E37">DATE(YEAR(A37),_xlfn.IFS(MONTH(A37)&lt;=3,1,MONTH(A37)&lt;=6,4,MONTH(A37)&lt;=9,7,MONTH(A37)&lt;=12,10),1)</f>
        <v>45292</v>
      </c>
      <c r="F37" s="1">
        <f t="shared" si="2"/>
        <v>45292</v>
      </c>
      <c r="G37">
        <f t="shared" si="3"/>
        <v>2</v>
      </c>
      <c r="H37">
        <f t="shared" si="4"/>
        <v>1</v>
      </c>
      <c r="I37">
        <f t="shared" si="5"/>
        <v>6</v>
      </c>
      <c r="J37" t="str" cm="1">
        <f t="array" ref="J37">_xlfn.IFS(H37&lt;6,"Weekday",H37&gt;5,"Weekend")</f>
        <v>Weekday</v>
      </c>
    </row>
    <row r="38" spans="1:10" x14ac:dyDescent="0.25">
      <c r="A38" s="1">
        <v>45328</v>
      </c>
      <c r="B38" s="1" t="str" cm="1">
        <f t="array" ref="B38">_xlfn.IFS(H38=1,"Monday",H38=2,"Tuesday",H38=3,"Wednesday",H38=4,"Thursday",H38=5,"Friday",H38=6,"Saturday",H38=7,"Sunday")</f>
        <v>Tuesday</v>
      </c>
      <c r="C38" s="1">
        <f t="shared" si="0"/>
        <v>45327</v>
      </c>
      <c r="D38" s="1">
        <f t="shared" si="1"/>
        <v>45323</v>
      </c>
      <c r="E38" s="1" cm="1">
        <f t="array" ref="E38">DATE(YEAR(A38),_xlfn.IFS(MONTH(A38)&lt;=3,1,MONTH(A38)&lt;=6,4,MONTH(A38)&lt;=9,7,MONTH(A38)&lt;=12,10),1)</f>
        <v>45292</v>
      </c>
      <c r="F38" s="1">
        <f t="shared" si="2"/>
        <v>45292</v>
      </c>
      <c r="G38">
        <f t="shared" si="3"/>
        <v>2</v>
      </c>
      <c r="H38">
        <f t="shared" si="4"/>
        <v>2</v>
      </c>
      <c r="I38">
        <f t="shared" si="5"/>
        <v>6</v>
      </c>
      <c r="J38" t="str" cm="1">
        <f t="array" ref="J38">_xlfn.IFS(H38&lt;6,"Weekday",H38&gt;5,"Weekend")</f>
        <v>Weekday</v>
      </c>
    </row>
    <row r="39" spans="1:10" x14ac:dyDescent="0.25">
      <c r="A39" s="1">
        <v>45329</v>
      </c>
      <c r="B39" s="1" t="str" cm="1">
        <f t="array" ref="B39">_xlfn.IFS(H39=1,"Monday",H39=2,"Tuesday",H39=3,"Wednesday",H39=4,"Thursday",H39=5,"Friday",H39=6,"Saturday",H39=7,"Sunday")</f>
        <v>Wednesday</v>
      </c>
      <c r="C39" s="1">
        <f t="shared" si="0"/>
        <v>45327</v>
      </c>
      <c r="D39" s="1">
        <f t="shared" si="1"/>
        <v>45323</v>
      </c>
      <c r="E39" s="1" cm="1">
        <f t="array" ref="E39">DATE(YEAR(A39),_xlfn.IFS(MONTH(A39)&lt;=3,1,MONTH(A39)&lt;=6,4,MONTH(A39)&lt;=9,7,MONTH(A39)&lt;=12,10),1)</f>
        <v>45292</v>
      </c>
      <c r="F39" s="1">
        <f t="shared" si="2"/>
        <v>45292</v>
      </c>
      <c r="G39">
        <f t="shared" si="3"/>
        <v>2</v>
      </c>
      <c r="H39">
        <f t="shared" si="4"/>
        <v>3</v>
      </c>
      <c r="I39">
        <f t="shared" si="5"/>
        <v>6</v>
      </c>
      <c r="J39" t="str" cm="1">
        <f t="array" ref="J39">_xlfn.IFS(H39&lt;6,"Weekday",H39&gt;5,"Weekend")</f>
        <v>Weekday</v>
      </c>
    </row>
    <row r="40" spans="1:10" x14ac:dyDescent="0.25">
      <c r="A40" s="1">
        <v>45330</v>
      </c>
      <c r="B40" s="1" t="str" cm="1">
        <f t="array" ref="B40">_xlfn.IFS(H40=1,"Monday",H40=2,"Tuesday",H40=3,"Wednesday",H40=4,"Thursday",H40=5,"Friday",H40=6,"Saturday",H40=7,"Sunday")</f>
        <v>Thursday</v>
      </c>
      <c r="C40" s="1">
        <f t="shared" si="0"/>
        <v>45327</v>
      </c>
      <c r="D40" s="1">
        <f t="shared" si="1"/>
        <v>45323</v>
      </c>
      <c r="E40" s="1" cm="1">
        <f t="array" ref="E40">DATE(YEAR(A40),_xlfn.IFS(MONTH(A40)&lt;=3,1,MONTH(A40)&lt;=6,4,MONTH(A40)&lt;=9,7,MONTH(A40)&lt;=12,10),1)</f>
        <v>45292</v>
      </c>
      <c r="F40" s="1">
        <f t="shared" si="2"/>
        <v>45292</v>
      </c>
      <c r="G40">
        <f t="shared" si="3"/>
        <v>2</v>
      </c>
      <c r="H40">
        <f t="shared" si="4"/>
        <v>4</v>
      </c>
      <c r="I40">
        <f t="shared" si="5"/>
        <v>6</v>
      </c>
      <c r="J40" t="str" cm="1">
        <f t="array" ref="J40">_xlfn.IFS(H40&lt;6,"Weekday",H40&gt;5,"Weekend")</f>
        <v>Weekday</v>
      </c>
    </row>
    <row r="41" spans="1:10" x14ac:dyDescent="0.25">
      <c r="A41" s="1">
        <v>45331</v>
      </c>
      <c r="B41" s="1" t="str" cm="1">
        <f t="array" ref="B41">_xlfn.IFS(H41=1,"Monday",H41=2,"Tuesday",H41=3,"Wednesday",H41=4,"Thursday",H41=5,"Friday",H41=6,"Saturday",H41=7,"Sunday")</f>
        <v>Friday</v>
      </c>
      <c r="C41" s="1">
        <f t="shared" si="0"/>
        <v>45327</v>
      </c>
      <c r="D41" s="1">
        <f t="shared" si="1"/>
        <v>45323</v>
      </c>
      <c r="E41" s="1" cm="1">
        <f t="array" ref="E41">DATE(YEAR(A41),_xlfn.IFS(MONTH(A41)&lt;=3,1,MONTH(A41)&lt;=6,4,MONTH(A41)&lt;=9,7,MONTH(A41)&lt;=12,10),1)</f>
        <v>45292</v>
      </c>
      <c r="F41" s="1">
        <f t="shared" si="2"/>
        <v>45292</v>
      </c>
      <c r="G41">
        <f t="shared" si="3"/>
        <v>2</v>
      </c>
      <c r="H41">
        <f t="shared" si="4"/>
        <v>5</v>
      </c>
      <c r="I41">
        <f t="shared" si="5"/>
        <v>6</v>
      </c>
      <c r="J41" t="str" cm="1">
        <f t="array" ref="J41">_xlfn.IFS(H41&lt;6,"Weekday",H41&gt;5,"Weekend")</f>
        <v>Weekday</v>
      </c>
    </row>
    <row r="42" spans="1:10" x14ac:dyDescent="0.25">
      <c r="A42" s="1">
        <v>45332</v>
      </c>
      <c r="B42" s="1" t="str" cm="1">
        <f t="array" ref="B42">_xlfn.IFS(H42=1,"Monday",H42=2,"Tuesday",H42=3,"Wednesday",H42=4,"Thursday",H42=5,"Friday",H42=6,"Saturday",H42=7,"Sunday")</f>
        <v>Saturday</v>
      </c>
      <c r="C42" s="1">
        <f t="shared" si="0"/>
        <v>45327</v>
      </c>
      <c r="D42" s="1">
        <f t="shared" si="1"/>
        <v>45323</v>
      </c>
      <c r="E42" s="1" cm="1">
        <f t="array" ref="E42">DATE(YEAR(A42),_xlfn.IFS(MONTH(A42)&lt;=3,1,MONTH(A42)&lt;=6,4,MONTH(A42)&lt;=9,7,MONTH(A42)&lt;=12,10),1)</f>
        <v>45292</v>
      </c>
      <c r="F42" s="1">
        <f t="shared" si="2"/>
        <v>45292</v>
      </c>
      <c r="G42">
        <f t="shared" si="3"/>
        <v>2</v>
      </c>
      <c r="H42">
        <f t="shared" si="4"/>
        <v>6</v>
      </c>
      <c r="I42">
        <f t="shared" si="5"/>
        <v>6</v>
      </c>
      <c r="J42" t="str" cm="1">
        <f t="array" ref="J42">_xlfn.IFS(H42&lt;6,"Weekday",H42&gt;5,"Weekend")</f>
        <v>Weekend</v>
      </c>
    </row>
    <row r="43" spans="1:10" x14ac:dyDescent="0.25">
      <c r="A43" s="1">
        <v>45333</v>
      </c>
      <c r="B43" s="1" t="str" cm="1">
        <f t="array" ref="B43">_xlfn.IFS(H43=1,"Monday",H43=2,"Tuesday",H43=3,"Wednesday",H43=4,"Thursday",H43=5,"Friday",H43=6,"Saturday",H43=7,"Sunday")</f>
        <v>Sunday</v>
      </c>
      <c r="C43" s="1">
        <f t="shared" si="0"/>
        <v>45327</v>
      </c>
      <c r="D43" s="1">
        <f t="shared" si="1"/>
        <v>45323</v>
      </c>
      <c r="E43" s="1" cm="1">
        <f t="array" ref="E43">DATE(YEAR(A43),_xlfn.IFS(MONTH(A43)&lt;=3,1,MONTH(A43)&lt;=6,4,MONTH(A43)&lt;=9,7,MONTH(A43)&lt;=12,10),1)</f>
        <v>45292</v>
      </c>
      <c r="F43" s="1">
        <f t="shared" si="2"/>
        <v>45292</v>
      </c>
      <c r="G43">
        <f t="shared" si="3"/>
        <v>2</v>
      </c>
      <c r="H43">
        <f t="shared" si="4"/>
        <v>7</v>
      </c>
      <c r="I43">
        <f t="shared" si="5"/>
        <v>6</v>
      </c>
      <c r="J43" t="str" cm="1">
        <f t="array" ref="J43">_xlfn.IFS(H43&lt;6,"Weekday",H43&gt;5,"Weekend")</f>
        <v>Weekend</v>
      </c>
    </row>
    <row r="44" spans="1:10" x14ac:dyDescent="0.25">
      <c r="A44" s="1">
        <v>45334</v>
      </c>
      <c r="B44" s="1" t="str" cm="1">
        <f t="array" ref="B44">_xlfn.IFS(H44=1,"Monday",H44=2,"Tuesday",H44=3,"Wednesday",H44=4,"Thursday",H44=5,"Friday",H44=6,"Saturday",H44=7,"Sunday")</f>
        <v>Monday</v>
      </c>
      <c r="C44" s="1">
        <f t="shared" si="0"/>
        <v>45334</v>
      </c>
      <c r="D44" s="1">
        <f t="shared" si="1"/>
        <v>45323</v>
      </c>
      <c r="E44" s="1" cm="1">
        <f t="array" ref="E44">DATE(YEAR(A44),_xlfn.IFS(MONTH(A44)&lt;=3,1,MONTH(A44)&lt;=6,4,MONTH(A44)&lt;=9,7,MONTH(A44)&lt;=12,10),1)</f>
        <v>45292</v>
      </c>
      <c r="F44" s="1">
        <f t="shared" si="2"/>
        <v>45292</v>
      </c>
      <c r="G44">
        <f t="shared" si="3"/>
        <v>2</v>
      </c>
      <c r="H44">
        <f t="shared" si="4"/>
        <v>1</v>
      </c>
      <c r="I44">
        <f t="shared" si="5"/>
        <v>7</v>
      </c>
      <c r="J44" t="str" cm="1">
        <f t="array" ref="J44">_xlfn.IFS(H44&lt;6,"Weekday",H44&gt;5,"Weekend")</f>
        <v>Weekday</v>
      </c>
    </row>
    <row r="45" spans="1:10" x14ac:dyDescent="0.25">
      <c r="A45" s="1">
        <v>45335</v>
      </c>
      <c r="B45" s="1" t="str" cm="1">
        <f t="array" ref="B45">_xlfn.IFS(H45=1,"Monday",H45=2,"Tuesday",H45=3,"Wednesday",H45=4,"Thursday",H45=5,"Friday",H45=6,"Saturday",H45=7,"Sunday")</f>
        <v>Tuesday</v>
      </c>
      <c r="C45" s="1">
        <f t="shared" si="0"/>
        <v>45334</v>
      </c>
      <c r="D45" s="1">
        <f t="shared" si="1"/>
        <v>45323</v>
      </c>
      <c r="E45" s="1" cm="1">
        <f t="array" ref="E45">DATE(YEAR(A45),_xlfn.IFS(MONTH(A45)&lt;=3,1,MONTH(A45)&lt;=6,4,MONTH(A45)&lt;=9,7,MONTH(A45)&lt;=12,10),1)</f>
        <v>45292</v>
      </c>
      <c r="F45" s="1">
        <f t="shared" si="2"/>
        <v>45292</v>
      </c>
      <c r="G45">
        <f t="shared" si="3"/>
        <v>2</v>
      </c>
      <c r="H45">
        <f t="shared" si="4"/>
        <v>2</v>
      </c>
      <c r="I45">
        <f t="shared" si="5"/>
        <v>7</v>
      </c>
      <c r="J45" t="str" cm="1">
        <f t="array" ref="J45">_xlfn.IFS(H45&lt;6,"Weekday",H45&gt;5,"Weekend")</f>
        <v>Weekday</v>
      </c>
    </row>
    <row r="46" spans="1:10" x14ac:dyDescent="0.25">
      <c r="A46" s="1">
        <v>45336</v>
      </c>
      <c r="B46" s="1" t="str" cm="1">
        <f t="array" ref="B46">_xlfn.IFS(H46=1,"Monday",H46=2,"Tuesday",H46=3,"Wednesday",H46=4,"Thursday",H46=5,"Friday",H46=6,"Saturday",H46=7,"Sunday")</f>
        <v>Wednesday</v>
      </c>
      <c r="C46" s="1">
        <f t="shared" si="0"/>
        <v>45334</v>
      </c>
      <c r="D46" s="1">
        <f t="shared" si="1"/>
        <v>45323</v>
      </c>
      <c r="E46" s="1" cm="1">
        <f t="array" ref="E46">DATE(YEAR(A46),_xlfn.IFS(MONTH(A46)&lt;=3,1,MONTH(A46)&lt;=6,4,MONTH(A46)&lt;=9,7,MONTH(A46)&lt;=12,10),1)</f>
        <v>45292</v>
      </c>
      <c r="F46" s="1">
        <f t="shared" si="2"/>
        <v>45292</v>
      </c>
      <c r="G46">
        <f t="shared" si="3"/>
        <v>2</v>
      </c>
      <c r="H46">
        <f t="shared" si="4"/>
        <v>3</v>
      </c>
      <c r="I46">
        <f t="shared" si="5"/>
        <v>7</v>
      </c>
      <c r="J46" t="str" cm="1">
        <f t="array" ref="J46">_xlfn.IFS(H46&lt;6,"Weekday",H46&gt;5,"Weekend")</f>
        <v>Weekday</v>
      </c>
    </row>
    <row r="47" spans="1:10" x14ac:dyDescent="0.25">
      <c r="A47" s="1">
        <v>45337</v>
      </c>
      <c r="B47" s="1" t="str" cm="1">
        <f t="array" ref="B47">_xlfn.IFS(H47=1,"Monday",H47=2,"Tuesday",H47=3,"Wednesday",H47=4,"Thursday",H47=5,"Friday",H47=6,"Saturday",H47=7,"Sunday")</f>
        <v>Thursday</v>
      </c>
      <c r="C47" s="1">
        <f t="shared" si="0"/>
        <v>45334</v>
      </c>
      <c r="D47" s="1">
        <f t="shared" si="1"/>
        <v>45323</v>
      </c>
      <c r="E47" s="1" cm="1">
        <f t="array" ref="E47">DATE(YEAR(A47),_xlfn.IFS(MONTH(A47)&lt;=3,1,MONTH(A47)&lt;=6,4,MONTH(A47)&lt;=9,7,MONTH(A47)&lt;=12,10),1)</f>
        <v>45292</v>
      </c>
      <c r="F47" s="1">
        <f t="shared" si="2"/>
        <v>45292</v>
      </c>
      <c r="G47">
        <f t="shared" si="3"/>
        <v>2</v>
      </c>
      <c r="H47">
        <f t="shared" si="4"/>
        <v>4</v>
      </c>
      <c r="I47">
        <f t="shared" si="5"/>
        <v>7</v>
      </c>
      <c r="J47" t="str" cm="1">
        <f t="array" ref="J47">_xlfn.IFS(H47&lt;6,"Weekday",H47&gt;5,"Weekend")</f>
        <v>Weekday</v>
      </c>
    </row>
    <row r="48" spans="1:10" x14ac:dyDescent="0.25">
      <c r="A48" s="1">
        <v>45338</v>
      </c>
      <c r="B48" s="1" t="str" cm="1">
        <f t="array" ref="B48">_xlfn.IFS(H48=1,"Monday",H48=2,"Tuesday",H48=3,"Wednesday",H48=4,"Thursday",H48=5,"Friday",H48=6,"Saturday",H48=7,"Sunday")</f>
        <v>Friday</v>
      </c>
      <c r="C48" s="1">
        <f t="shared" si="0"/>
        <v>45334</v>
      </c>
      <c r="D48" s="1">
        <f t="shared" si="1"/>
        <v>45323</v>
      </c>
      <c r="E48" s="1" cm="1">
        <f t="array" ref="E48">DATE(YEAR(A48),_xlfn.IFS(MONTH(A48)&lt;=3,1,MONTH(A48)&lt;=6,4,MONTH(A48)&lt;=9,7,MONTH(A48)&lt;=12,10),1)</f>
        <v>45292</v>
      </c>
      <c r="F48" s="1">
        <f t="shared" si="2"/>
        <v>45292</v>
      </c>
      <c r="G48">
        <f t="shared" si="3"/>
        <v>2</v>
      </c>
      <c r="H48">
        <f t="shared" si="4"/>
        <v>5</v>
      </c>
      <c r="I48">
        <f t="shared" si="5"/>
        <v>7</v>
      </c>
      <c r="J48" t="str" cm="1">
        <f t="array" ref="J48">_xlfn.IFS(H48&lt;6,"Weekday",H48&gt;5,"Weekend")</f>
        <v>Weekday</v>
      </c>
    </row>
    <row r="49" spans="1:10" x14ac:dyDescent="0.25">
      <c r="A49" s="1">
        <v>45339</v>
      </c>
      <c r="B49" s="1" t="str" cm="1">
        <f t="array" ref="B49">_xlfn.IFS(H49=1,"Monday",H49=2,"Tuesday",H49=3,"Wednesday",H49=4,"Thursday",H49=5,"Friday",H49=6,"Saturday",H49=7,"Sunday")</f>
        <v>Saturday</v>
      </c>
      <c r="C49" s="1">
        <f t="shared" si="0"/>
        <v>45334</v>
      </c>
      <c r="D49" s="1">
        <f t="shared" si="1"/>
        <v>45323</v>
      </c>
      <c r="E49" s="1" cm="1">
        <f t="array" ref="E49">DATE(YEAR(A49),_xlfn.IFS(MONTH(A49)&lt;=3,1,MONTH(A49)&lt;=6,4,MONTH(A49)&lt;=9,7,MONTH(A49)&lt;=12,10),1)</f>
        <v>45292</v>
      </c>
      <c r="F49" s="1">
        <f t="shared" si="2"/>
        <v>45292</v>
      </c>
      <c r="G49">
        <f t="shared" si="3"/>
        <v>2</v>
      </c>
      <c r="H49">
        <f t="shared" si="4"/>
        <v>6</v>
      </c>
      <c r="I49">
        <f t="shared" si="5"/>
        <v>7</v>
      </c>
      <c r="J49" t="str" cm="1">
        <f t="array" ref="J49">_xlfn.IFS(H49&lt;6,"Weekday",H49&gt;5,"Weekend")</f>
        <v>Weekend</v>
      </c>
    </row>
    <row r="50" spans="1:10" x14ac:dyDescent="0.25">
      <c r="A50" s="1">
        <v>45340</v>
      </c>
      <c r="B50" s="1" t="str" cm="1">
        <f t="array" ref="B50">_xlfn.IFS(H50=1,"Monday",H50=2,"Tuesday",H50=3,"Wednesday",H50=4,"Thursday",H50=5,"Friday",H50=6,"Saturday",H50=7,"Sunday")</f>
        <v>Sunday</v>
      </c>
      <c r="C50" s="1">
        <f t="shared" si="0"/>
        <v>45334</v>
      </c>
      <c r="D50" s="1">
        <f t="shared" si="1"/>
        <v>45323</v>
      </c>
      <c r="E50" s="1" cm="1">
        <f t="array" ref="E50">DATE(YEAR(A50),_xlfn.IFS(MONTH(A50)&lt;=3,1,MONTH(A50)&lt;=6,4,MONTH(A50)&lt;=9,7,MONTH(A50)&lt;=12,10),1)</f>
        <v>45292</v>
      </c>
      <c r="F50" s="1">
        <f t="shared" si="2"/>
        <v>45292</v>
      </c>
      <c r="G50">
        <f t="shared" si="3"/>
        <v>2</v>
      </c>
      <c r="H50">
        <f t="shared" si="4"/>
        <v>7</v>
      </c>
      <c r="I50">
        <f t="shared" si="5"/>
        <v>7</v>
      </c>
      <c r="J50" t="str" cm="1">
        <f t="array" ref="J50">_xlfn.IFS(H50&lt;6,"Weekday",H50&gt;5,"Weekend")</f>
        <v>Weekend</v>
      </c>
    </row>
    <row r="51" spans="1:10" x14ac:dyDescent="0.25">
      <c r="A51" s="1">
        <v>45341</v>
      </c>
      <c r="B51" s="1" t="str" cm="1">
        <f t="array" ref="B51">_xlfn.IFS(H51=1,"Monday",H51=2,"Tuesday",H51=3,"Wednesday",H51=4,"Thursday",H51=5,"Friday",H51=6,"Saturday",H51=7,"Sunday")</f>
        <v>Monday</v>
      </c>
      <c r="C51" s="1">
        <f t="shared" si="0"/>
        <v>45341</v>
      </c>
      <c r="D51" s="1">
        <f t="shared" si="1"/>
        <v>45323</v>
      </c>
      <c r="E51" s="1" cm="1">
        <f t="array" ref="E51">DATE(YEAR(A51),_xlfn.IFS(MONTH(A51)&lt;=3,1,MONTH(A51)&lt;=6,4,MONTH(A51)&lt;=9,7,MONTH(A51)&lt;=12,10),1)</f>
        <v>45292</v>
      </c>
      <c r="F51" s="1">
        <f t="shared" si="2"/>
        <v>45292</v>
      </c>
      <c r="G51">
        <f t="shared" si="3"/>
        <v>2</v>
      </c>
      <c r="H51">
        <f t="shared" si="4"/>
        <v>1</v>
      </c>
      <c r="I51">
        <f t="shared" si="5"/>
        <v>8</v>
      </c>
      <c r="J51" t="str" cm="1">
        <f t="array" ref="J51">_xlfn.IFS(H51&lt;6,"Weekday",H51&gt;5,"Weekend")</f>
        <v>Weekday</v>
      </c>
    </row>
    <row r="52" spans="1:10" x14ac:dyDescent="0.25">
      <c r="A52" s="1">
        <v>45342</v>
      </c>
      <c r="B52" s="1" t="str" cm="1">
        <f t="array" ref="B52">_xlfn.IFS(H52=1,"Monday",H52=2,"Tuesday",H52=3,"Wednesday",H52=4,"Thursday",H52=5,"Friday",H52=6,"Saturday",H52=7,"Sunday")</f>
        <v>Tuesday</v>
      </c>
      <c r="C52" s="1">
        <f t="shared" si="0"/>
        <v>45341</v>
      </c>
      <c r="D52" s="1">
        <f t="shared" si="1"/>
        <v>45323</v>
      </c>
      <c r="E52" s="1" cm="1">
        <f t="array" ref="E52">DATE(YEAR(A52),_xlfn.IFS(MONTH(A52)&lt;=3,1,MONTH(A52)&lt;=6,4,MONTH(A52)&lt;=9,7,MONTH(A52)&lt;=12,10),1)</f>
        <v>45292</v>
      </c>
      <c r="F52" s="1">
        <f t="shared" si="2"/>
        <v>45292</v>
      </c>
      <c r="G52">
        <f t="shared" si="3"/>
        <v>2</v>
      </c>
      <c r="H52">
        <f t="shared" si="4"/>
        <v>2</v>
      </c>
      <c r="I52">
        <f t="shared" si="5"/>
        <v>8</v>
      </c>
      <c r="J52" t="str" cm="1">
        <f t="array" ref="J52">_xlfn.IFS(H52&lt;6,"Weekday",H52&gt;5,"Weekend")</f>
        <v>Weekday</v>
      </c>
    </row>
    <row r="53" spans="1:10" x14ac:dyDescent="0.25">
      <c r="A53" s="1">
        <v>45343</v>
      </c>
      <c r="B53" s="1" t="str" cm="1">
        <f t="array" ref="B53">_xlfn.IFS(H53=1,"Monday",H53=2,"Tuesday",H53=3,"Wednesday",H53=4,"Thursday",H53=5,"Friday",H53=6,"Saturday",H53=7,"Sunday")</f>
        <v>Wednesday</v>
      </c>
      <c r="C53" s="1">
        <f t="shared" si="0"/>
        <v>45341</v>
      </c>
      <c r="D53" s="1">
        <f t="shared" si="1"/>
        <v>45323</v>
      </c>
      <c r="E53" s="1" cm="1">
        <f t="array" ref="E53">DATE(YEAR(A53),_xlfn.IFS(MONTH(A53)&lt;=3,1,MONTH(A53)&lt;=6,4,MONTH(A53)&lt;=9,7,MONTH(A53)&lt;=12,10),1)</f>
        <v>45292</v>
      </c>
      <c r="F53" s="1">
        <f t="shared" si="2"/>
        <v>45292</v>
      </c>
      <c r="G53">
        <f t="shared" si="3"/>
        <v>2</v>
      </c>
      <c r="H53">
        <f t="shared" si="4"/>
        <v>3</v>
      </c>
      <c r="I53">
        <f t="shared" si="5"/>
        <v>8</v>
      </c>
      <c r="J53" t="str" cm="1">
        <f t="array" ref="J53">_xlfn.IFS(H53&lt;6,"Weekday",H53&gt;5,"Weekend")</f>
        <v>Weekday</v>
      </c>
    </row>
    <row r="54" spans="1:10" x14ac:dyDescent="0.25">
      <c r="A54" s="1">
        <v>45344</v>
      </c>
      <c r="B54" s="1" t="str" cm="1">
        <f t="array" ref="B54">_xlfn.IFS(H54=1,"Monday",H54=2,"Tuesday",H54=3,"Wednesday",H54=4,"Thursday",H54=5,"Friday",H54=6,"Saturday",H54=7,"Sunday")</f>
        <v>Thursday</v>
      </c>
      <c r="C54" s="1">
        <f t="shared" si="0"/>
        <v>45341</v>
      </c>
      <c r="D54" s="1">
        <f t="shared" si="1"/>
        <v>45323</v>
      </c>
      <c r="E54" s="1" cm="1">
        <f t="array" ref="E54">DATE(YEAR(A54),_xlfn.IFS(MONTH(A54)&lt;=3,1,MONTH(A54)&lt;=6,4,MONTH(A54)&lt;=9,7,MONTH(A54)&lt;=12,10),1)</f>
        <v>45292</v>
      </c>
      <c r="F54" s="1">
        <f t="shared" si="2"/>
        <v>45292</v>
      </c>
      <c r="G54">
        <f t="shared" si="3"/>
        <v>2</v>
      </c>
      <c r="H54">
        <f t="shared" si="4"/>
        <v>4</v>
      </c>
      <c r="I54">
        <f t="shared" si="5"/>
        <v>8</v>
      </c>
      <c r="J54" t="str" cm="1">
        <f t="array" ref="J54">_xlfn.IFS(H54&lt;6,"Weekday",H54&gt;5,"Weekend")</f>
        <v>Weekday</v>
      </c>
    </row>
    <row r="55" spans="1:10" x14ac:dyDescent="0.25">
      <c r="A55" s="1">
        <v>45345</v>
      </c>
      <c r="B55" s="1" t="str" cm="1">
        <f t="array" ref="B55">_xlfn.IFS(H55=1,"Monday",H55=2,"Tuesday",H55=3,"Wednesday",H55=4,"Thursday",H55=5,"Friday",H55=6,"Saturday",H55=7,"Sunday")</f>
        <v>Friday</v>
      </c>
      <c r="C55" s="1">
        <f t="shared" si="0"/>
        <v>45341</v>
      </c>
      <c r="D55" s="1">
        <f t="shared" si="1"/>
        <v>45323</v>
      </c>
      <c r="E55" s="1" cm="1">
        <f t="array" ref="E55">DATE(YEAR(A55),_xlfn.IFS(MONTH(A55)&lt;=3,1,MONTH(A55)&lt;=6,4,MONTH(A55)&lt;=9,7,MONTH(A55)&lt;=12,10),1)</f>
        <v>45292</v>
      </c>
      <c r="F55" s="1">
        <f t="shared" si="2"/>
        <v>45292</v>
      </c>
      <c r="G55">
        <f t="shared" si="3"/>
        <v>2</v>
      </c>
      <c r="H55">
        <f t="shared" si="4"/>
        <v>5</v>
      </c>
      <c r="I55">
        <f t="shared" si="5"/>
        <v>8</v>
      </c>
      <c r="J55" t="str" cm="1">
        <f t="array" ref="J55">_xlfn.IFS(H55&lt;6,"Weekday",H55&gt;5,"Weekend")</f>
        <v>Weekday</v>
      </c>
    </row>
    <row r="56" spans="1:10" x14ac:dyDescent="0.25">
      <c r="A56" s="1">
        <v>45346</v>
      </c>
      <c r="B56" s="1" t="str" cm="1">
        <f t="array" ref="B56">_xlfn.IFS(H56=1,"Monday",H56=2,"Tuesday",H56=3,"Wednesday",H56=4,"Thursday",H56=5,"Friday",H56=6,"Saturday",H56=7,"Sunday")</f>
        <v>Saturday</v>
      </c>
      <c r="C56" s="1">
        <f t="shared" si="0"/>
        <v>45341</v>
      </c>
      <c r="D56" s="1">
        <f t="shared" si="1"/>
        <v>45323</v>
      </c>
      <c r="E56" s="1" cm="1">
        <f t="array" ref="E56">DATE(YEAR(A56),_xlfn.IFS(MONTH(A56)&lt;=3,1,MONTH(A56)&lt;=6,4,MONTH(A56)&lt;=9,7,MONTH(A56)&lt;=12,10),1)</f>
        <v>45292</v>
      </c>
      <c r="F56" s="1">
        <f t="shared" si="2"/>
        <v>45292</v>
      </c>
      <c r="G56">
        <f t="shared" si="3"/>
        <v>2</v>
      </c>
      <c r="H56">
        <f t="shared" si="4"/>
        <v>6</v>
      </c>
      <c r="I56">
        <f t="shared" si="5"/>
        <v>8</v>
      </c>
      <c r="J56" t="str" cm="1">
        <f t="array" ref="J56">_xlfn.IFS(H56&lt;6,"Weekday",H56&gt;5,"Weekend")</f>
        <v>Weekend</v>
      </c>
    </row>
    <row r="57" spans="1:10" x14ac:dyDescent="0.25">
      <c r="A57" s="1">
        <v>45347</v>
      </c>
      <c r="B57" s="1" t="str" cm="1">
        <f t="array" ref="B57">_xlfn.IFS(H57=1,"Monday",H57=2,"Tuesday",H57=3,"Wednesday",H57=4,"Thursday",H57=5,"Friday",H57=6,"Saturday",H57=7,"Sunday")</f>
        <v>Sunday</v>
      </c>
      <c r="C57" s="1">
        <f t="shared" si="0"/>
        <v>45341</v>
      </c>
      <c r="D57" s="1">
        <f t="shared" si="1"/>
        <v>45323</v>
      </c>
      <c r="E57" s="1" cm="1">
        <f t="array" ref="E57">DATE(YEAR(A57),_xlfn.IFS(MONTH(A57)&lt;=3,1,MONTH(A57)&lt;=6,4,MONTH(A57)&lt;=9,7,MONTH(A57)&lt;=12,10),1)</f>
        <v>45292</v>
      </c>
      <c r="F57" s="1">
        <f t="shared" si="2"/>
        <v>45292</v>
      </c>
      <c r="G57">
        <f t="shared" si="3"/>
        <v>2</v>
      </c>
      <c r="H57">
        <f t="shared" si="4"/>
        <v>7</v>
      </c>
      <c r="I57">
        <f t="shared" si="5"/>
        <v>8</v>
      </c>
      <c r="J57" t="str" cm="1">
        <f t="array" ref="J57">_xlfn.IFS(H57&lt;6,"Weekday",H57&gt;5,"Weekend")</f>
        <v>Weekend</v>
      </c>
    </row>
    <row r="58" spans="1:10" x14ac:dyDescent="0.25">
      <c r="A58" s="1">
        <v>45348</v>
      </c>
      <c r="B58" s="1" t="str" cm="1">
        <f t="array" ref="B58">_xlfn.IFS(H58=1,"Monday",H58=2,"Tuesday",H58=3,"Wednesday",H58=4,"Thursday",H58=5,"Friday",H58=6,"Saturday",H58=7,"Sunday")</f>
        <v>Monday</v>
      </c>
      <c r="C58" s="1">
        <f t="shared" si="0"/>
        <v>45348</v>
      </c>
      <c r="D58" s="1">
        <f t="shared" si="1"/>
        <v>45323</v>
      </c>
      <c r="E58" s="1" cm="1">
        <f t="array" ref="E58">DATE(YEAR(A58),_xlfn.IFS(MONTH(A58)&lt;=3,1,MONTH(A58)&lt;=6,4,MONTH(A58)&lt;=9,7,MONTH(A58)&lt;=12,10),1)</f>
        <v>45292</v>
      </c>
      <c r="F58" s="1">
        <f t="shared" si="2"/>
        <v>45292</v>
      </c>
      <c r="G58">
        <f t="shared" si="3"/>
        <v>2</v>
      </c>
      <c r="H58">
        <f t="shared" si="4"/>
        <v>1</v>
      </c>
      <c r="I58">
        <f t="shared" si="5"/>
        <v>9</v>
      </c>
      <c r="J58" t="str" cm="1">
        <f t="array" ref="J58">_xlfn.IFS(H58&lt;6,"Weekday",H58&gt;5,"Weekend")</f>
        <v>Weekday</v>
      </c>
    </row>
    <row r="59" spans="1:10" x14ac:dyDescent="0.25">
      <c r="A59" s="1">
        <v>45349</v>
      </c>
      <c r="B59" s="1" t="str" cm="1">
        <f t="array" ref="B59">_xlfn.IFS(H59=1,"Monday",H59=2,"Tuesday",H59=3,"Wednesday",H59=4,"Thursday",H59=5,"Friday",H59=6,"Saturday",H59=7,"Sunday")</f>
        <v>Tuesday</v>
      </c>
      <c r="C59" s="1">
        <f t="shared" si="0"/>
        <v>45348</v>
      </c>
      <c r="D59" s="1">
        <f t="shared" si="1"/>
        <v>45323</v>
      </c>
      <c r="E59" s="1" cm="1">
        <f t="array" ref="E59">DATE(YEAR(A59),_xlfn.IFS(MONTH(A59)&lt;=3,1,MONTH(A59)&lt;=6,4,MONTH(A59)&lt;=9,7,MONTH(A59)&lt;=12,10),1)</f>
        <v>45292</v>
      </c>
      <c r="F59" s="1">
        <f t="shared" si="2"/>
        <v>45292</v>
      </c>
      <c r="G59">
        <f t="shared" si="3"/>
        <v>2</v>
      </c>
      <c r="H59">
        <f t="shared" si="4"/>
        <v>2</v>
      </c>
      <c r="I59">
        <f t="shared" si="5"/>
        <v>9</v>
      </c>
      <c r="J59" t="str" cm="1">
        <f t="array" ref="J59">_xlfn.IFS(H59&lt;6,"Weekday",H59&gt;5,"Weekend")</f>
        <v>Weekday</v>
      </c>
    </row>
    <row r="60" spans="1:10" x14ac:dyDescent="0.25">
      <c r="A60" s="1">
        <v>45350</v>
      </c>
      <c r="B60" s="1" t="str" cm="1">
        <f t="array" ref="B60">_xlfn.IFS(H60=1,"Monday",H60=2,"Tuesday",H60=3,"Wednesday",H60=4,"Thursday",H60=5,"Friday",H60=6,"Saturday",H60=7,"Sunday")</f>
        <v>Wednesday</v>
      </c>
      <c r="C60" s="1">
        <f t="shared" si="0"/>
        <v>45348</v>
      </c>
      <c r="D60" s="1">
        <f t="shared" si="1"/>
        <v>45323</v>
      </c>
      <c r="E60" s="1" cm="1">
        <f t="array" ref="E60">DATE(YEAR(A60),_xlfn.IFS(MONTH(A60)&lt;=3,1,MONTH(A60)&lt;=6,4,MONTH(A60)&lt;=9,7,MONTH(A60)&lt;=12,10),1)</f>
        <v>45292</v>
      </c>
      <c r="F60" s="1">
        <f t="shared" si="2"/>
        <v>45292</v>
      </c>
      <c r="G60">
        <f t="shared" si="3"/>
        <v>2</v>
      </c>
      <c r="H60">
        <f t="shared" si="4"/>
        <v>3</v>
      </c>
      <c r="I60">
        <f t="shared" si="5"/>
        <v>9</v>
      </c>
      <c r="J60" t="str" cm="1">
        <f t="array" ref="J60">_xlfn.IFS(H60&lt;6,"Weekday",H60&gt;5,"Weekend")</f>
        <v>Weekday</v>
      </c>
    </row>
    <row r="61" spans="1:10" x14ac:dyDescent="0.25">
      <c r="A61" s="1">
        <v>45351</v>
      </c>
      <c r="B61" s="1" t="str" cm="1">
        <f t="array" ref="B61">_xlfn.IFS(H61=1,"Monday",H61=2,"Tuesday",H61=3,"Wednesday",H61=4,"Thursday",H61=5,"Friday",H61=6,"Saturday",H61=7,"Sunday")</f>
        <v>Thursday</v>
      </c>
      <c r="C61" s="1">
        <f t="shared" si="0"/>
        <v>45348</v>
      </c>
      <c r="D61" s="1">
        <f t="shared" si="1"/>
        <v>45323</v>
      </c>
      <c r="E61" s="1" cm="1">
        <f t="array" ref="E61">DATE(YEAR(A61),_xlfn.IFS(MONTH(A61)&lt;=3,1,MONTH(A61)&lt;=6,4,MONTH(A61)&lt;=9,7,MONTH(A61)&lt;=12,10),1)</f>
        <v>45292</v>
      </c>
      <c r="F61" s="1">
        <f t="shared" si="2"/>
        <v>45292</v>
      </c>
      <c r="G61">
        <f t="shared" si="3"/>
        <v>2</v>
      </c>
      <c r="H61">
        <f t="shared" si="4"/>
        <v>4</v>
      </c>
      <c r="I61">
        <f t="shared" si="5"/>
        <v>9</v>
      </c>
      <c r="J61" t="str" cm="1">
        <f t="array" ref="J61">_xlfn.IFS(H61&lt;6,"Weekday",H61&gt;5,"Weekend")</f>
        <v>Weekday</v>
      </c>
    </row>
    <row r="62" spans="1:10" x14ac:dyDescent="0.25">
      <c r="A62" s="1">
        <v>45352</v>
      </c>
      <c r="B62" s="1" t="str" cm="1">
        <f t="array" ref="B62">_xlfn.IFS(H62=1,"Monday",H62=2,"Tuesday",H62=3,"Wednesday",H62=4,"Thursday",H62=5,"Friday",H62=6,"Saturday",H62=7,"Sunday")</f>
        <v>Friday</v>
      </c>
      <c r="C62" s="1">
        <f t="shared" si="0"/>
        <v>45348</v>
      </c>
      <c r="D62" s="1">
        <f t="shared" si="1"/>
        <v>45352</v>
      </c>
      <c r="E62" s="1" cm="1">
        <f t="array" ref="E62">DATE(YEAR(A62),_xlfn.IFS(MONTH(A62)&lt;=3,1,MONTH(A62)&lt;=6,4,MONTH(A62)&lt;=9,7,MONTH(A62)&lt;=12,10),1)</f>
        <v>45292</v>
      </c>
      <c r="F62" s="1">
        <f t="shared" si="2"/>
        <v>45292</v>
      </c>
      <c r="G62">
        <f t="shared" si="3"/>
        <v>3</v>
      </c>
      <c r="H62">
        <f t="shared" si="4"/>
        <v>5</v>
      </c>
      <c r="I62">
        <f t="shared" si="5"/>
        <v>9</v>
      </c>
      <c r="J62" t="str" cm="1">
        <f t="array" ref="J62">_xlfn.IFS(H62&lt;6,"Weekday",H62&gt;5,"Weekend")</f>
        <v>Weekday</v>
      </c>
    </row>
    <row r="63" spans="1:10" x14ac:dyDescent="0.25">
      <c r="A63" s="1">
        <v>45353</v>
      </c>
      <c r="B63" s="1" t="str" cm="1">
        <f t="array" ref="B63">_xlfn.IFS(H63=1,"Monday",H63=2,"Tuesday",H63=3,"Wednesday",H63=4,"Thursday",H63=5,"Friday",H63=6,"Saturday",H63=7,"Sunday")</f>
        <v>Saturday</v>
      </c>
      <c r="C63" s="1">
        <f t="shared" si="0"/>
        <v>45348</v>
      </c>
      <c r="D63" s="1">
        <f t="shared" si="1"/>
        <v>45352</v>
      </c>
      <c r="E63" s="1" cm="1">
        <f t="array" ref="E63">DATE(YEAR(A63),_xlfn.IFS(MONTH(A63)&lt;=3,1,MONTH(A63)&lt;=6,4,MONTH(A63)&lt;=9,7,MONTH(A63)&lt;=12,10),1)</f>
        <v>45292</v>
      </c>
      <c r="F63" s="1">
        <f t="shared" si="2"/>
        <v>45292</v>
      </c>
      <c r="G63">
        <f t="shared" si="3"/>
        <v>3</v>
      </c>
      <c r="H63">
        <f t="shared" si="4"/>
        <v>6</v>
      </c>
      <c r="I63">
        <f t="shared" si="5"/>
        <v>9</v>
      </c>
      <c r="J63" t="str" cm="1">
        <f t="array" ref="J63">_xlfn.IFS(H63&lt;6,"Weekday",H63&gt;5,"Weekend")</f>
        <v>Weekend</v>
      </c>
    </row>
    <row r="64" spans="1:10" x14ac:dyDescent="0.25">
      <c r="A64" s="1">
        <v>45354</v>
      </c>
      <c r="B64" s="1" t="str" cm="1">
        <f t="array" ref="B64">_xlfn.IFS(H64=1,"Monday",H64=2,"Tuesday",H64=3,"Wednesday",H64=4,"Thursday",H64=5,"Friday",H64=6,"Saturday",H64=7,"Sunday")</f>
        <v>Sunday</v>
      </c>
      <c r="C64" s="1">
        <f t="shared" si="0"/>
        <v>45348</v>
      </c>
      <c r="D64" s="1">
        <f t="shared" si="1"/>
        <v>45352</v>
      </c>
      <c r="E64" s="1" cm="1">
        <f t="array" ref="E64">DATE(YEAR(A64),_xlfn.IFS(MONTH(A64)&lt;=3,1,MONTH(A64)&lt;=6,4,MONTH(A64)&lt;=9,7,MONTH(A64)&lt;=12,10),1)</f>
        <v>45292</v>
      </c>
      <c r="F64" s="1">
        <f t="shared" si="2"/>
        <v>45292</v>
      </c>
      <c r="G64">
        <f t="shared" si="3"/>
        <v>3</v>
      </c>
      <c r="H64">
        <f t="shared" si="4"/>
        <v>7</v>
      </c>
      <c r="I64">
        <f t="shared" si="5"/>
        <v>9</v>
      </c>
      <c r="J64" t="str" cm="1">
        <f t="array" ref="J64">_xlfn.IFS(H64&lt;6,"Weekday",H64&gt;5,"Weekend")</f>
        <v>Weekend</v>
      </c>
    </row>
    <row r="65" spans="1:10" x14ac:dyDescent="0.25">
      <c r="A65" s="1">
        <v>45355</v>
      </c>
      <c r="B65" s="1" t="str" cm="1">
        <f t="array" ref="B65">_xlfn.IFS(H65=1,"Monday",H65=2,"Tuesday",H65=3,"Wednesday",H65=4,"Thursday",H65=5,"Friday",H65=6,"Saturday",H65=7,"Sunday")</f>
        <v>Monday</v>
      </c>
      <c r="C65" s="1">
        <f t="shared" si="0"/>
        <v>45355</v>
      </c>
      <c r="D65" s="1">
        <f t="shared" si="1"/>
        <v>45352</v>
      </c>
      <c r="E65" s="1" cm="1">
        <f t="array" ref="E65">DATE(YEAR(A65),_xlfn.IFS(MONTH(A65)&lt;=3,1,MONTH(A65)&lt;=6,4,MONTH(A65)&lt;=9,7,MONTH(A65)&lt;=12,10),1)</f>
        <v>45292</v>
      </c>
      <c r="F65" s="1">
        <f t="shared" si="2"/>
        <v>45292</v>
      </c>
      <c r="G65">
        <f t="shared" si="3"/>
        <v>3</v>
      </c>
      <c r="H65">
        <f t="shared" si="4"/>
        <v>1</v>
      </c>
      <c r="I65">
        <f t="shared" si="5"/>
        <v>10</v>
      </c>
      <c r="J65" t="str" cm="1">
        <f t="array" ref="J65">_xlfn.IFS(H65&lt;6,"Weekday",H65&gt;5,"Weekend")</f>
        <v>Weekday</v>
      </c>
    </row>
    <row r="66" spans="1:10" x14ac:dyDescent="0.25">
      <c r="A66" s="1">
        <v>45356</v>
      </c>
      <c r="B66" s="1" t="str" cm="1">
        <f t="array" ref="B66">_xlfn.IFS(H66=1,"Monday",H66=2,"Tuesday",H66=3,"Wednesday",H66=4,"Thursday",H66=5,"Friday",H66=6,"Saturday",H66=7,"Sunday")</f>
        <v>Tuesday</v>
      </c>
      <c r="C66" s="1">
        <f t="shared" ref="C66:C129" si="6">A66-WEEKDAY(A66,2)+1</f>
        <v>45355</v>
      </c>
      <c r="D66" s="1">
        <f t="shared" ref="D66:D129" si="7">DATE(YEAR(A66),MONTH(A66),1)</f>
        <v>45352</v>
      </c>
      <c r="E66" s="1" cm="1">
        <f t="array" ref="E66">DATE(YEAR(A66),_xlfn.IFS(MONTH(A66)&lt;=3,1,MONTH(A66)&lt;=6,4,MONTH(A66)&lt;=9,7,MONTH(A66)&lt;=12,10),1)</f>
        <v>45292</v>
      </c>
      <c r="F66" s="1">
        <f t="shared" ref="F66:F129" si="8">DATE(YEAR(A66),1,1)</f>
        <v>45292</v>
      </c>
      <c r="G66">
        <f t="shared" ref="G66:G129" si="9">MONTH(A66)</f>
        <v>3</v>
      </c>
      <c r="H66">
        <f t="shared" ref="H66:H129" si="10">WEEKDAY(A66,2)</f>
        <v>2</v>
      </c>
      <c r="I66">
        <f t="shared" ref="I66:I129" si="11">_xlfn.ISOWEEKNUM(A66)</f>
        <v>10</v>
      </c>
      <c r="J66" t="str" cm="1">
        <f t="array" ref="J66">_xlfn.IFS(H66&lt;6,"Weekday",H66&gt;5,"Weekend")</f>
        <v>Weekday</v>
      </c>
    </row>
    <row r="67" spans="1:10" x14ac:dyDescent="0.25">
      <c r="A67" s="1">
        <v>45357</v>
      </c>
      <c r="B67" s="1" t="str" cm="1">
        <f t="array" ref="B67">_xlfn.IFS(H67=1,"Monday",H67=2,"Tuesday",H67=3,"Wednesday",H67=4,"Thursday",H67=5,"Friday",H67=6,"Saturday",H67=7,"Sunday")</f>
        <v>Wednesday</v>
      </c>
      <c r="C67" s="1">
        <f t="shared" si="6"/>
        <v>45355</v>
      </c>
      <c r="D67" s="1">
        <f t="shared" si="7"/>
        <v>45352</v>
      </c>
      <c r="E67" s="1" cm="1">
        <f t="array" ref="E67">DATE(YEAR(A67),_xlfn.IFS(MONTH(A67)&lt;=3,1,MONTH(A67)&lt;=6,4,MONTH(A67)&lt;=9,7,MONTH(A67)&lt;=12,10),1)</f>
        <v>45292</v>
      </c>
      <c r="F67" s="1">
        <f t="shared" si="8"/>
        <v>45292</v>
      </c>
      <c r="G67">
        <f t="shared" si="9"/>
        <v>3</v>
      </c>
      <c r="H67">
        <f t="shared" si="10"/>
        <v>3</v>
      </c>
      <c r="I67">
        <f t="shared" si="11"/>
        <v>10</v>
      </c>
      <c r="J67" t="str" cm="1">
        <f t="array" ref="J67">_xlfn.IFS(H67&lt;6,"Weekday",H67&gt;5,"Weekend")</f>
        <v>Weekday</v>
      </c>
    </row>
    <row r="68" spans="1:10" x14ac:dyDescent="0.25">
      <c r="A68" s="1">
        <v>45358</v>
      </c>
      <c r="B68" s="1" t="str" cm="1">
        <f t="array" ref="B68">_xlfn.IFS(H68=1,"Monday",H68=2,"Tuesday",H68=3,"Wednesday",H68=4,"Thursday",H68=5,"Friday",H68=6,"Saturday",H68=7,"Sunday")</f>
        <v>Thursday</v>
      </c>
      <c r="C68" s="1">
        <f t="shared" si="6"/>
        <v>45355</v>
      </c>
      <c r="D68" s="1">
        <f t="shared" si="7"/>
        <v>45352</v>
      </c>
      <c r="E68" s="1" cm="1">
        <f t="array" ref="E68">DATE(YEAR(A68),_xlfn.IFS(MONTH(A68)&lt;=3,1,MONTH(A68)&lt;=6,4,MONTH(A68)&lt;=9,7,MONTH(A68)&lt;=12,10),1)</f>
        <v>45292</v>
      </c>
      <c r="F68" s="1">
        <f t="shared" si="8"/>
        <v>45292</v>
      </c>
      <c r="G68">
        <f t="shared" si="9"/>
        <v>3</v>
      </c>
      <c r="H68">
        <f t="shared" si="10"/>
        <v>4</v>
      </c>
      <c r="I68">
        <f t="shared" si="11"/>
        <v>10</v>
      </c>
      <c r="J68" t="str" cm="1">
        <f t="array" ref="J68">_xlfn.IFS(H68&lt;6,"Weekday",H68&gt;5,"Weekend")</f>
        <v>Weekday</v>
      </c>
    </row>
    <row r="69" spans="1:10" x14ac:dyDescent="0.25">
      <c r="A69" s="1">
        <v>45359</v>
      </c>
      <c r="B69" s="1" t="str" cm="1">
        <f t="array" ref="B69">_xlfn.IFS(H69=1,"Monday",H69=2,"Tuesday",H69=3,"Wednesday",H69=4,"Thursday",H69=5,"Friday",H69=6,"Saturday",H69=7,"Sunday")</f>
        <v>Friday</v>
      </c>
      <c r="C69" s="1">
        <f t="shared" si="6"/>
        <v>45355</v>
      </c>
      <c r="D69" s="1">
        <f t="shared" si="7"/>
        <v>45352</v>
      </c>
      <c r="E69" s="1" cm="1">
        <f t="array" ref="E69">DATE(YEAR(A69),_xlfn.IFS(MONTH(A69)&lt;=3,1,MONTH(A69)&lt;=6,4,MONTH(A69)&lt;=9,7,MONTH(A69)&lt;=12,10),1)</f>
        <v>45292</v>
      </c>
      <c r="F69" s="1">
        <f t="shared" si="8"/>
        <v>45292</v>
      </c>
      <c r="G69">
        <f t="shared" si="9"/>
        <v>3</v>
      </c>
      <c r="H69">
        <f t="shared" si="10"/>
        <v>5</v>
      </c>
      <c r="I69">
        <f t="shared" si="11"/>
        <v>10</v>
      </c>
      <c r="J69" t="str" cm="1">
        <f t="array" ref="J69">_xlfn.IFS(H69&lt;6,"Weekday",H69&gt;5,"Weekend")</f>
        <v>Weekday</v>
      </c>
    </row>
    <row r="70" spans="1:10" x14ac:dyDescent="0.25">
      <c r="A70" s="1">
        <v>45360</v>
      </c>
      <c r="B70" s="1" t="str" cm="1">
        <f t="array" ref="B70">_xlfn.IFS(H70=1,"Monday",H70=2,"Tuesday",H70=3,"Wednesday",H70=4,"Thursday",H70=5,"Friday",H70=6,"Saturday",H70=7,"Sunday")</f>
        <v>Saturday</v>
      </c>
      <c r="C70" s="1">
        <f t="shared" si="6"/>
        <v>45355</v>
      </c>
      <c r="D70" s="1">
        <f t="shared" si="7"/>
        <v>45352</v>
      </c>
      <c r="E70" s="1" cm="1">
        <f t="array" ref="E70">DATE(YEAR(A70),_xlfn.IFS(MONTH(A70)&lt;=3,1,MONTH(A70)&lt;=6,4,MONTH(A70)&lt;=9,7,MONTH(A70)&lt;=12,10),1)</f>
        <v>45292</v>
      </c>
      <c r="F70" s="1">
        <f t="shared" si="8"/>
        <v>45292</v>
      </c>
      <c r="G70">
        <f t="shared" si="9"/>
        <v>3</v>
      </c>
      <c r="H70">
        <f t="shared" si="10"/>
        <v>6</v>
      </c>
      <c r="I70">
        <f t="shared" si="11"/>
        <v>10</v>
      </c>
      <c r="J70" t="str" cm="1">
        <f t="array" ref="J70">_xlfn.IFS(H70&lt;6,"Weekday",H70&gt;5,"Weekend")</f>
        <v>Weekend</v>
      </c>
    </row>
    <row r="71" spans="1:10" x14ac:dyDescent="0.25">
      <c r="A71" s="1">
        <v>45361</v>
      </c>
      <c r="B71" s="1" t="str" cm="1">
        <f t="array" ref="B71">_xlfn.IFS(H71=1,"Monday",H71=2,"Tuesday",H71=3,"Wednesday",H71=4,"Thursday",H71=5,"Friday",H71=6,"Saturday",H71=7,"Sunday")</f>
        <v>Sunday</v>
      </c>
      <c r="C71" s="1">
        <f t="shared" si="6"/>
        <v>45355</v>
      </c>
      <c r="D71" s="1">
        <f t="shared" si="7"/>
        <v>45352</v>
      </c>
      <c r="E71" s="1" cm="1">
        <f t="array" ref="E71">DATE(YEAR(A71),_xlfn.IFS(MONTH(A71)&lt;=3,1,MONTH(A71)&lt;=6,4,MONTH(A71)&lt;=9,7,MONTH(A71)&lt;=12,10),1)</f>
        <v>45292</v>
      </c>
      <c r="F71" s="1">
        <f t="shared" si="8"/>
        <v>45292</v>
      </c>
      <c r="G71">
        <f t="shared" si="9"/>
        <v>3</v>
      </c>
      <c r="H71">
        <f t="shared" si="10"/>
        <v>7</v>
      </c>
      <c r="I71">
        <f t="shared" si="11"/>
        <v>10</v>
      </c>
      <c r="J71" t="str" cm="1">
        <f t="array" ref="J71">_xlfn.IFS(H71&lt;6,"Weekday",H71&gt;5,"Weekend")</f>
        <v>Weekend</v>
      </c>
    </row>
    <row r="72" spans="1:10" x14ac:dyDescent="0.25">
      <c r="A72" s="1">
        <v>45362</v>
      </c>
      <c r="B72" s="1" t="str" cm="1">
        <f t="array" ref="B72">_xlfn.IFS(H72=1,"Monday",H72=2,"Tuesday",H72=3,"Wednesday",H72=4,"Thursday",H72=5,"Friday",H72=6,"Saturday",H72=7,"Sunday")</f>
        <v>Monday</v>
      </c>
      <c r="C72" s="1">
        <f t="shared" si="6"/>
        <v>45362</v>
      </c>
      <c r="D72" s="1">
        <f t="shared" si="7"/>
        <v>45352</v>
      </c>
      <c r="E72" s="1" cm="1">
        <f t="array" ref="E72">DATE(YEAR(A72),_xlfn.IFS(MONTH(A72)&lt;=3,1,MONTH(A72)&lt;=6,4,MONTH(A72)&lt;=9,7,MONTH(A72)&lt;=12,10),1)</f>
        <v>45292</v>
      </c>
      <c r="F72" s="1">
        <f t="shared" si="8"/>
        <v>45292</v>
      </c>
      <c r="G72">
        <f t="shared" si="9"/>
        <v>3</v>
      </c>
      <c r="H72">
        <f t="shared" si="10"/>
        <v>1</v>
      </c>
      <c r="I72">
        <f t="shared" si="11"/>
        <v>11</v>
      </c>
      <c r="J72" t="str" cm="1">
        <f t="array" ref="J72">_xlfn.IFS(H72&lt;6,"Weekday",H72&gt;5,"Weekend")</f>
        <v>Weekday</v>
      </c>
    </row>
    <row r="73" spans="1:10" x14ac:dyDescent="0.25">
      <c r="A73" s="1">
        <v>45363</v>
      </c>
      <c r="B73" s="1" t="str" cm="1">
        <f t="array" ref="B73">_xlfn.IFS(H73=1,"Monday",H73=2,"Tuesday",H73=3,"Wednesday",H73=4,"Thursday",H73=5,"Friday",H73=6,"Saturday",H73=7,"Sunday")</f>
        <v>Tuesday</v>
      </c>
      <c r="C73" s="1">
        <f t="shared" si="6"/>
        <v>45362</v>
      </c>
      <c r="D73" s="1">
        <f t="shared" si="7"/>
        <v>45352</v>
      </c>
      <c r="E73" s="1" cm="1">
        <f t="array" ref="E73">DATE(YEAR(A73),_xlfn.IFS(MONTH(A73)&lt;=3,1,MONTH(A73)&lt;=6,4,MONTH(A73)&lt;=9,7,MONTH(A73)&lt;=12,10),1)</f>
        <v>45292</v>
      </c>
      <c r="F73" s="1">
        <f t="shared" si="8"/>
        <v>45292</v>
      </c>
      <c r="G73">
        <f t="shared" si="9"/>
        <v>3</v>
      </c>
      <c r="H73">
        <f t="shared" si="10"/>
        <v>2</v>
      </c>
      <c r="I73">
        <f t="shared" si="11"/>
        <v>11</v>
      </c>
      <c r="J73" t="str" cm="1">
        <f t="array" ref="J73">_xlfn.IFS(H73&lt;6,"Weekday",H73&gt;5,"Weekend")</f>
        <v>Weekday</v>
      </c>
    </row>
    <row r="74" spans="1:10" x14ac:dyDescent="0.25">
      <c r="A74" s="1">
        <v>45364</v>
      </c>
      <c r="B74" s="1" t="str" cm="1">
        <f t="array" ref="B74">_xlfn.IFS(H74=1,"Monday",H74=2,"Tuesday",H74=3,"Wednesday",H74=4,"Thursday",H74=5,"Friday",H74=6,"Saturday",H74=7,"Sunday")</f>
        <v>Wednesday</v>
      </c>
      <c r="C74" s="1">
        <f t="shared" si="6"/>
        <v>45362</v>
      </c>
      <c r="D74" s="1">
        <f t="shared" si="7"/>
        <v>45352</v>
      </c>
      <c r="E74" s="1" cm="1">
        <f t="array" ref="E74">DATE(YEAR(A74),_xlfn.IFS(MONTH(A74)&lt;=3,1,MONTH(A74)&lt;=6,4,MONTH(A74)&lt;=9,7,MONTH(A74)&lt;=12,10),1)</f>
        <v>45292</v>
      </c>
      <c r="F74" s="1">
        <f t="shared" si="8"/>
        <v>45292</v>
      </c>
      <c r="G74">
        <f t="shared" si="9"/>
        <v>3</v>
      </c>
      <c r="H74">
        <f t="shared" si="10"/>
        <v>3</v>
      </c>
      <c r="I74">
        <f t="shared" si="11"/>
        <v>11</v>
      </c>
      <c r="J74" t="str" cm="1">
        <f t="array" ref="J74">_xlfn.IFS(H74&lt;6,"Weekday",H74&gt;5,"Weekend")</f>
        <v>Weekday</v>
      </c>
    </row>
    <row r="75" spans="1:10" x14ac:dyDescent="0.25">
      <c r="A75" s="1">
        <v>45365</v>
      </c>
      <c r="B75" s="1" t="str" cm="1">
        <f t="array" ref="B75">_xlfn.IFS(H75=1,"Monday",H75=2,"Tuesday",H75=3,"Wednesday",H75=4,"Thursday",H75=5,"Friday",H75=6,"Saturday",H75=7,"Sunday")</f>
        <v>Thursday</v>
      </c>
      <c r="C75" s="1">
        <f t="shared" si="6"/>
        <v>45362</v>
      </c>
      <c r="D75" s="1">
        <f t="shared" si="7"/>
        <v>45352</v>
      </c>
      <c r="E75" s="1" cm="1">
        <f t="array" ref="E75">DATE(YEAR(A75),_xlfn.IFS(MONTH(A75)&lt;=3,1,MONTH(A75)&lt;=6,4,MONTH(A75)&lt;=9,7,MONTH(A75)&lt;=12,10),1)</f>
        <v>45292</v>
      </c>
      <c r="F75" s="1">
        <f t="shared" si="8"/>
        <v>45292</v>
      </c>
      <c r="G75">
        <f t="shared" si="9"/>
        <v>3</v>
      </c>
      <c r="H75">
        <f t="shared" si="10"/>
        <v>4</v>
      </c>
      <c r="I75">
        <f t="shared" si="11"/>
        <v>11</v>
      </c>
      <c r="J75" t="str" cm="1">
        <f t="array" ref="J75">_xlfn.IFS(H75&lt;6,"Weekday",H75&gt;5,"Weekend")</f>
        <v>Weekday</v>
      </c>
    </row>
    <row r="76" spans="1:10" x14ac:dyDescent="0.25">
      <c r="A76" s="1">
        <v>45366</v>
      </c>
      <c r="B76" s="1" t="str" cm="1">
        <f t="array" ref="B76">_xlfn.IFS(H76=1,"Monday",H76=2,"Tuesday",H76=3,"Wednesday",H76=4,"Thursday",H76=5,"Friday",H76=6,"Saturday",H76=7,"Sunday")</f>
        <v>Friday</v>
      </c>
      <c r="C76" s="1">
        <f t="shared" si="6"/>
        <v>45362</v>
      </c>
      <c r="D76" s="1">
        <f t="shared" si="7"/>
        <v>45352</v>
      </c>
      <c r="E76" s="1" cm="1">
        <f t="array" ref="E76">DATE(YEAR(A76),_xlfn.IFS(MONTH(A76)&lt;=3,1,MONTH(A76)&lt;=6,4,MONTH(A76)&lt;=9,7,MONTH(A76)&lt;=12,10),1)</f>
        <v>45292</v>
      </c>
      <c r="F76" s="1">
        <f t="shared" si="8"/>
        <v>45292</v>
      </c>
      <c r="G76">
        <f t="shared" si="9"/>
        <v>3</v>
      </c>
      <c r="H76">
        <f t="shared" si="10"/>
        <v>5</v>
      </c>
      <c r="I76">
        <f t="shared" si="11"/>
        <v>11</v>
      </c>
      <c r="J76" t="str" cm="1">
        <f t="array" ref="J76">_xlfn.IFS(H76&lt;6,"Weekday",H76&gt;5,"Weekend")</f>
        <v>Weekday</v>
      </c>
    </row>
    <row r="77" spans="1:10" x14ac:dyDescent="0.25">
      <c r="A77" s="1">
        <v>45367</v>
      </c>
      <c r="B77" s="1" t="str" cm="1">
        <f t="array" ref="B77">_xlfn.IFS(H77=1,"Monday",H77=2,"Tuesday",H77=3,"Wednesday",H77=4,"Thursday",H77=5,"Friday",H77=6,"Saturday",H77=7,"Sunday")</f>
        <v>Saturday</v>
      </c>
      <c r="C77" s="1">
        <f t="shared" si="6"/>
        <v>45362</v>
      </c>
      <c r="D77" s="1">
        <f t="shared" si="7"/>
        <v>45352</v>
      </c>
      <c r="E77" s="1" cm="1">
        <f t="array" ref="E77">DATE(YEAR(A77),_xlfn.IFS(MONTH(A77)&lt;=3,1,MONTH(A77)&lt;=6,4,MONTH(A77)&lt;=9,7,MONTH(A77)&lt;=12,10),1)</f>
        <v>45292</v>
      </c>
      <c r="F77" s="1">
        <f t="shared" si="8"/>
        <v>45292</v>
      </c>
      <c r="G77">
        <f t="shared" si="9"/>
        <v>3</v>
      </c>
      <c r="H77">
        <f t="shared" si="10"/>
        <v>6</v>
      </c>
      <c r="I77">
        <f t="shared" si="11"/>
        <v>11</v>
      </c>
      <c r="J77" t="str" cm="1">
        <f t="array" ref="J77">_xlfn.IFS(H77&lt;6,"Weekday",H77&gt;5,"Weekend")</f>
        <v>Weekend</v>
      </c>
    </row>
    <row r="78" spans="1:10" x14ac:dyDescent="0.25">
      <c r="A78" s="1">
        <v>45368</v>
      </c>
      <c r="B78" s="1" t="str" cm="1">
        <f t="array" ref="B78">_xlfn.IFS(H78=1,"Monday",H78=2,"Tuesday",H78=3,"Wednesday",H78=4,"Thursday",H78=5,"Friday",H78=6,"Saturday",H78=7,"Sunday")</f>
        <v>Sunday</v>
      </c>
      <c r="C78" s="1">
        <f t="shared" si="6"/>
        <v>45362</v>
      </c>
      <c r="D78" s="1">
        <f t="shared" si="7"/>
        <v>45352</v>
      </c>
      <c r="E78" s="1" cm="1">
        <f t="array" ref="E78">DATE(YEAR(A78),_xlfn.IFS(MONTH(A78)&lt;=3,1,MONTH(A78)&lt;=6,4,MONTH(A78)&lt;=9,7,MONTH(A78)&lt;=12,10),1)</f>
        <v>45292</v>
      </c>
      <c r="F78" s="1">
        <f t="shared" si="8"/>
        <v>45292</v>
      </c>
      <c r="G78">
        <f t="shared" si="9"/>
        <v>3</v>
      </c>
      <c r="H78">
        <f t="shared" si="10"/>
        <v>7</v>
      </c>
      <c r="I78">
        <f t="shared" si="11"/>
        <v>11</v>
      </c>
      <c r="J78" t="str" cm="1">
        <f t="array" ref="J78">_xlfn.IFS(H78&lt;6,"Weekday",H78&gt;5,"Weekend")</f>
        <v>Weekend</v>
      </c>
    </row>
    <row r="79" spans="1:10" x14ac:dyDescent="0.25">
      <c r="A79" s="1">
        <v>45369</v>
      </c>
      <c r="B79" s="1" t="str" cm="1">
        <f t="array" ref="B79">_xlfn.IFS(H79=1,"Monday",H79=2,"Tuesday",H79=3,"Wednesday",H79=4,"Thursday",H79=5,"Friday",H79=6,"Saturday",H79=7,"Sunday")</f>
        <v>Monday</v>
      </c>
      <c r="C79" s="1">
        <f t="shared" si="6"/>
        <v>45369</v>
      </c>
      <c r="D79" s="1">
        <f t="shared" si="7"/>
        <v>45352</v>
      </c>
      <c r="E79" s="1" cm="1">
        <f t="array" ref="E79">DATE(YEAR(A79),_xlfn.IFS(MONTH(A79)&lt;=3,1,MONTH(A79)&lt;=6,4,MONTH(A79)&lt;=9,7,MONTH(A79)&lt;=12,10),1)</f>
        <v>45292</v>
      </c>
      <c r="F79" s="1">
        <f t="shared" si="8"/>
        <v>45292</v>
      </c>
      <c r="G79">
        <f t="shared" si="9"/>
        <v>3</v>
      </c>
      <c r="H79">
        <f t="shared" si="10"/>
        <v>1</v>
      </c>
      <c r="I79">
        <f t="shared" si="11"/>
        <v>12</v>
      </c>
      <c r="J79" t="str" cm="1">
        <f t="array" ref="J79">_xlfn.IFS(H79&lt;6,"Weekday",H79&gt;5,"Weekend")</f>
        <v>Weekday</v>
      </c>
    </row>
    <row r="80" spans="1:10" x14ac:dyDescent="0.25">
      <c r="A80" s="1">
        <v>45370</v>
      </c>
      <c r="B80" s="1" t="str" cm="1">
        <f t="array" ref="B80">_xlfn.IFS(H80=1,"Monday",H80=2,"Tuesday",H80=3,"Wednesday",H80=4,"Thursday",H80=5,"Friday",H80=6,"Saturday",H80=7,"Sunday")</f>
        <v>Tuesday</v>
      </c>
      <c r="C80" s="1">
        <f t="shared" si="6"/>
        <v>45369</v>
      </c>
      <c r="D80" s="1">
        <f t="shared" si="7"/>
        <v>45352</v>
      </c>
      <c r="E80" s="1" cm="1">
        <f t="array" ref="E80">DATE(YEAR(A80),_xlfn.IFS(MONTH(A80)&lt;=3,1,MONTH(A80)&lt;=6,4,MONTH(A80)&lt;=9,7,MONTH(A80)&lt;=12,10),1)</f>
        <v>45292</v>
      </c>
      <c r="F80" s="1">
        <f t="shared" si="8"/>
        <v>45292</v>
      </c>
      <c r="G80">
        <f t="shared" si="9"/>
        <v>3</v>
      </c>
      <c r="H80">
        <f t="shared" si="10"/>
        <v>2</v>
      </c>
      <c r="I80">
        <f t="shared" si="11"/>
        <v>12</v>
      </c>
      <c r="J80" t="str" cm="1">
        <f t="array" ref="J80">_xlfn.IFS(H80&lt;6,"Weekday",H80&gt;5,"Weekend")</f>
        <v>Weekday</v>
      </c>
    </row>
    <row r="81" spans="1:10" x14ac:dyDescent="0.25">
      <c r="A81" s="1">
        <v>45371</v>
      </c>
      <c r="B81" s="1" t="str" cm="1">
        <f t="array" ref="B81">_xlfn.IFS(H81=1,"Monday",H81=2,"Tuesday",H81=3,"Wednesday",H81=4,"Thursday",H81=5,"Friday",H81=6,"Saturday",H81=7,"Sunday")</f>
        <v>Wednesday</v>
      </c>
      <c r="C81" s="1">
        <f t="shared" si="6"/>
        <v>45369</v>
      </c>
      <c r="D81" s="1">
        <f t="shared" si="7"/>
        <v>45352</v>
      </c>
      <c r="E81" s="1" cm="1">
        <f t="array" ref="E81">DATE(YEAR(A81),_xlfn.IFS(MONTH(A81)&lt;=3,1,MONTH(A81)&lt;=6,4,MONTH(A81)&lt;=9,7,MONTH(A81)&lt;=12,10),1)</f>
        <v>45292</v>
      </c>
      <c r="F81" s="1">
        <f t="shared" si="8"/>
        <v>45292</v>
      </c>
      <c r="G81">
        <f t="shared" si="9"/>
        <v>3</v>
      </c>
      <c r="H81">
        <f t="shared" si="10"/>
        <v>3</v>
      </c>
      <c r="I81">
        <f t="shared" si="11"/>
        <v>12</v>
      </c>
      <c r="J81" t="str" cm="1">
        <f t="array" ref="J81">_xlfn.IFS(H81&lt;6,"Weekday",H81&gt;5,"Weekend")</f>
        <v>Weekday</v>
      </c>
    </row>
    <row r="82" spans="1:10" x14ac:dyDescent="0.25">
      <c r="A82" s="1">
        <v>45372</v>
      </c>
      <c r="B82" s="1" t="str" cm="1">
        <f t="array" ref="B82">_xlfn.IFS(H82=1,"Monday",H82=2,"Tuesday",H82=3,"Wednesday",H82=4,"Thursday",H82=5,"Friday",H82=6,"Saturday",H82=7,"Sunday")</f>
        <v>Thursday</v>
      </c>
      <c r="C82" s="1">
        <f t="shared" si="6"/>
        <v>45369</v>
      </c>
      <c r="D82" s="1">
        <f t="shared" si="7"/>
        <v>45352</v>
      </c>
      <c r="E82" s="1" cm="1">
        <f t="array" ref="E82">DATE(YEAR(A82),_xlfn.IFS(MONTH(A82)&lt;=3,1,MONTH(A82)&lt;=6,4,MONTH(A82)&lt;=9,7,MONTH(A82)&lt;=12,10),1)</f>
        <v>45292</v>
      </c>
      <c r="F82" s="1">
        <f t="shared" si="8"/>
        <v>45292</v>
      </c>
      <c r="G82">
        <f t="shared" si="9"/>
        <v>3</v>
      </c>
      <c r="H82">
        <f t="shared" si="10"/>
        <v>4</v>
      </c>
      <c r="I82">
        <f t="shared" si="11"/>
        <v>12</v>
      </c>
      <c r="J82" t="str" cm="1">
        <f t="array" ref="J82">_xlfn.IFS(H82&lt;6,"Weekday",H82&gt;5,"Weekend")</f>
        <v>Weekday</v>
      </c>
    </row>
    <row r="83" spans="1:10" x14ac:dyDescent="0.25">
      <c r="A83" s="1">
        <v>45373</v>
      </c>
      <c r="B83" s="1" t="str" cm="1">
        <f t="array" ref="B83">_xlfn.IFS(H83=1,"Monday",H83=2,"Tuesday",H83=3,"Wednesday",H83=4,"Thursday",H83=5,"Friday",H83=6,"Saturday",H83=7,"Sunday")</f>
        <v>Friday</v>
      </c>
      <c r="C83" s="1">
        <f t="shared" si="6"/>
        <v>45369</v>
      </c>
      <c r="D83" s="1">
        <f t="shared" si="7"/>
        <v>45352</v>
      </c>
      <c r="E83" s="1" cm="1">
        <f t="array" ref="E83">DATE(YEAR(A83),_xlfn.IFS(MONTH(A83)&lt;=3,1,MONTH(A83)&lt;=6,4,MONTH(A83)&lt;=9,7,MONTH(A83)&lt;=12,10),1)</f>
        <v>45292</v>
      </c>
      <c r="F83" s="1">
        <f t="shared" si="8"/>
        <v>45292</v>
      </c>
      <c r="G83">
        <f t="shared" si="9"/>
        <v>3</v>
      </c>
      <c r="H83">
        <f t="shared" si="10"/>
        <v>5</v>
      </c>
      <c r="I83">
        <f t="shared" si="11"/>
        <v>12</v>
      </c>
      <c r="J83" t="str" cm="1">
        <f t="array" ref="J83">_xlfn.IFS(H83&lt;6,"Weekday",H83&gt;5,"Weekend")</f>
        <v>Weekday</v>
      </c>
    </row>
    <row r="84" spans="1:10" x14ac:dyDescent="0.25">
      <c r="A84" s="1">
        <v>45374</v>
      </c>
      <c r="B84" s="1" t="str" cm="1">
        <f t="array" ref="B84">_xlfn.IFS(H84=1,"Monday",H84=2,"Tuesday",H84=3,"Wednesday",H84=4,"Thursday",H84=5,"Friday",H84=6,"Saturday",H84=7,"Sunday")</f>
        <v>Saturday</v>
      </c>
      <c r="C84" s="1">
        <f t="shared" si="6"/>
        <v>45369</v>
      </c>
      <c r="D84" s="1">
        <f t="shared" si="7"/>
        <v>45352</v>
      </c>
      <c r="E84" s="1" cm="1">
        <f t="array" ref="E84">DATE(YEAR(A84),_xlfn.IFS(MONTH(A84)&lt;=3,1,MONTH(A84)&lt;=6,4,MONTH(A84)&lt;=9,7,MONTH(A84)&lt;=12,10),1)</f>
        <v>45292</v>
      </c>
      <c r="F84" s="1">
        <f t="shared" si="8"/>
        <v>45292</v>
      </c>
      <c r="G84">
        <f t="shared" si="9"/>
        <v>3</v>
      </c>
      <c r="H84">
        <f t="shared" si="10"/>
        <v>6</v>
      </c>
      <c r="I84">
        <f t="shared" si="11"/>
        <v>12</v>
      </c>
      <c r="J84" t="str" cm="1">
        <f t="array" ref="J84">_xlfn.IFS(H84&lt;6,"Weekday",H84&gt;5,"Weekend")</f>
        <v>Weekend</v>
      </c>
    </row>
    <row r="85" spans="1:10" x14ac:dyDescent="0.25">
      <c r="A85" s="1">
        <v>45375</v>
      </c>
      <c r="B85" s="1" t="str" cm="1">
        <f t="array" ref="B85">_xlfn.IFS(H85=1,"Monday",H85=2,"Tuesday",H85=3,"Wednesday",H85=4,"Thursday",H85=5,"Friday",H85=6,"Saturday",H85=7,"Sunday")</f>
        <v>Sunday</v>
      </c>
      <c r="C85" s="1">
        <f t="shared" si="6"/>
        <v>45369</v>
      </c>
      <c r="D85" s="1">
        <f t="shared" si="7"/>
        <v>45352</v>
      </c>
      <c r="E85" s="1" cm="1">
        <f t="array" ref="E85">DATE(YEAR(A85),_xlfn.IFS(MONTH(A85)&lt;=3,1,MONTH(A85)&lt;=6,4,MONTH(A85)&lt;=9,7,MONTH(A85)&lt;=12,10),1)</f>
        <v>45292</v>
      </c>
      <c r="F85" s="1">
        <f t="shared" si="8"/>
        <v>45292</v>
      </c>
      <c r="G85">
        <f t="shared" si="9"/>
        <v>3</v>
      </c>
      <c r="H85">
        <f t="shared" si="10"/>
        <v>7</v>
      </c>
      <c r="I85">
        <f t="shared" si="11"/>
        <v>12</v>
      </c>
      <c r="J85" t="str" cm="1">
        <f t="array" ref="J85">_xlfn.IFS(H85&lt;6,"Weekday",H85&gt;5,"Weekend")</f>
        <v>Weekend</v>
      </c>
    </row>
    <row r="86" spans="1:10" x14ac:dyDescent="0.25">
      <c r="A86" s="1">
        <v>45376</v>
      </c>
      <c r="B86" s="1" t="str" cm="1">
        <f t="array" ref="B86">_xlfn.IFS(H86=1,"Monday",H86=2,"Tuesday",H86=3,"Wednesday",H86=4,"Thursday",H86=5,"Friday",H86=6,"Saturday",H86=7,"Sunday")</f>
        <v>Monday</v>
      </c>
      <c r="C86" s="1">
        <f t="shared" si="6"/>
        <v>45376</v>
      </c>
      <c r="D86" s="1">
        <f t="shared" si="7"/>
        <v>45352</v>
      </c>
      <c r="E86" s="1" cm="1">
        <f t="array" ref="E86">DATE(YEAR(A86),_xlfn.IFS(MONTH(A86)&lt;=3,1,MONTH(A86)&lt;=6,4,MONTH(A86)&lt;=9,7,MONTH(A86)&lt;=12,10),1)</f>
        <v>45292</v>
      </c>
      <c r="F86" s="1">
        <f t="shared" si="8"/>
        <v>45292</v>
      </c>
      <c r="G86">
        <f t="shared" si="9"/>
        <v>3</v>
      </c>
      <c r="H86">
        <f t="shared" si="10"/>
        <v>1</v>
      </c>
      <c r="I86">
        <f t="shared" si="11"/>
        <v>13</v>
      </c>
      <c r="J86" t="str" cm="1">
        <f t="array" ref="J86">_xlfn.IFS(H86&lt;6,"Weekday",H86&gt;5,"Weekend")</f>
        <v>Weekday</v>
      </c>
    </row>
    <row r="87" spans="1:10" x14ac:dyDescent="0.25">
      <c r="A87" s="1">
        <v>45377</v>
      </c>
      <c r="B87" s="1" t="str" cm="1">
        <f t="array" ref="B87">_xlfn.IFS(H87=1,"Monday",H87=2,"Tuesday",H87=3,"Wednesday",H87=4,"Thursday",H87=5,"Friday",H87=6,"Saturday",H87=7,"Sunday")</f>
        <v>Tuesday</v>
      </c>
      <c r="C87" s="1">
        <f t="shared" si="6"/>
        <v>45376</v>
      </c>
      <c r="D87" s="1">
        <f t="shared" si="7"/>
        <v>45352</v>
      </c>
      <c r="E87" s="1" cm="1">
        <f t="array" ref="E87">DATE(YEAR(A87),_xlfn.IFS(MONTH(A87)&lt;=3,1,MONTH(A87)&lt;=6,4,MONTH(A87)&lt;=9,7,MONTH(A87)&lt;=12,10),1)</f>
        <v>45292</v>
      </c>
      <c r="F87" s="1">
        <f t="shared" si="8"/>
        <v>45292</v>
      </c>
      <c r="G87">
        <f t="shared" si="9"/>
        <v>3</v>
      </c>
      <c r="H87">
        <f t="shared" si="10"/>
        <v>2</v>
      </c>
      <c r="I87">
        <f t="shared" si="11"/>
        <v>13</v>
      </c>
      <c r="J87" t="str" cm="1">
        <f t="array" ref="J87">_xlfn.IFS(H87&lt;6,"Weekday",H87&gt;5,"Weekend")</f>
        <v>Weekday</v>
      </c>
    </row>
    <row r="88" spans="1:10" x14ac:dyDescent="0.25">
      <c r="A88" s="1">
        <v>45378</v>
      </c>
      <c r="B88" s="1" t="str" cm="1">
        <f t="array" ref="B88">_xlfn.IFS(H88=1,"Monday",H88=2,"Tuesday",H88=3,"Wednesday",H88=4,"Thursday",H88=5,"Friday",H88=6,"Saturday",H88=7,"Sunday")</f>
        <v>Wednesday</v>
      </c>
      <c r="C88" s="1">
        <f t="shared" si="6"/>
        <v>45376</v>
      </c>
      <c r="D88" s="1">
        <f t="shared" si="7"/>
        <v>45352</v>
      </c>
      <c r="E88" s="1" cm="1">
        <f t="array" ref="E88">DATE(YEAR(A88),_xlfn.IFS(MONTH(A88)&lt;=3,1,MONTH(A88)&lt;=6,4,MONTH(A88)&lt;=9,7,MONTH(A88)&lt;=12,10),1)</f>
        <v>45292</v>
      </c>
      <c r="F88" s="1">
        <f t="shared" si="8"/>
        <v>45292</v>
      </c>
      <c r="G88">
        <f t="shared" si="9"/>
        <v>3</v>
      </c>
      <c r="H88">
        <f t="shared" si="10"/>
        <v>3</v>
      </c>
      <c r="I88">
        <f t="shared" si="11"/>
        <v>13</v>
      </c>
      <c r="J88" t="str" cm="1">
        <f t="array" ref="J88">_xlfn.IFS(H88&lt;6,"Weekday",H88&gt;5,"Weekend")</f>
        <v>Weekday</v>
      </c>
    </row>
    <row r="89" spans="1:10" x14ac:dyDescent="0.25">
      <c r="A89" s="1">
        <v>45379</v>
      </c>
      <c r="B89" s="1" t="str" cm="1">
        <f t="array" ref="B89">_xlfn.IFS(H89=1,"Monday",H89=2,"Tuesday",H89=3,"Wednesday",H89=4,"Thursday",H89=5,"Friday",H89=6,"Saturday",H89=7,"Sunday")</f>
        <v>Thursday</v>
      </c>
      <c r="C89" s="1">
        <f t="shared" si="6"/>
        <v>45376</v>
      </c>
      <c r="D89" s="1">
        <f t="shared" si="7"/>
        <v>45352</v>
      </c>
      <c r="E89" s="1" cm="1">
        <f t="array" ref="E89">DATE(YEAR(A89),_xlfn.IFS(MONTH(A89)&lt;=3,1,MONTH(A89)&lt;=6,4,MONTH(A89)&lt;=9,7,MONTH(A89)&lt;=12,10),1)</f>
        <v>45292</v>
      </c>
      <c r="F89" s="1">
        <f t="shared" si="8"/>
        <v>45292</v>
      </c>
      <c r="G89">
        <f t="shared" si="9"/>
        <v>3</v>
      </c>
      <c r="H89">
        <f t="shared" si="10"/>
        <v>4</v>
      </c>
      <c r="I89">
        <f t="shared" si="11"/>
        <v>13</v>
      </c>
      <c r="J89" t="str" cm="1">
        <f t="array" ref="J89">_xlfn.IFS(H89&lt;6,"Weekday",H89&gt;5,"Weekend")</f>
        <v>Weekday</v>
      </c>
    </row>
    <row r="90" spans="1:10" x14ac:dyDescent="0.25">
      <c r="A90" s="1">
        <v>45380</v>
      </c>
      <c r="B90" s="1" t="str" cm="1">
        <f t="array" ref="B90">_xlfn.IFS(H90=1,"Monday",H90=2,"Tuesday",H90=3,"Wednesday",H90=4,"Thursday",H90=5,"Friday",H90=6,"Saturday",H90=7,"Sunday")</f>
        <v>Friday</v>
      </c>
      <c r="C90" s="1">
        <f t="shared" si="6"/>
        <v>45376</v>
      </c>
      <c r="D90" s="1">
        <f t="shared" si="7"/>
        <v>45352</v>
      </c>
      <c r="E90" s="1" cm="1">
        <f t="array" ref="E90">DATE(YEAR(A90),_xlfn.IFS(MONTH(A90)&lt;=3,1,MONTH(A90)&lt;=6,4,MONTH(A90)&lt;=9,7,MONTH(A90)&lt;=12,10),1)</f>
        <v>45292</v>
      </c>
      <c r="F90" s="1">
        <f t="shared" si="8"/>
        <v>45292</v>
      </c>
      <c r="G90">
        <f t="shared" si="9"/>
        <v>3</v>
      </c>
      <c r="H90">
        <f t="shared" si="10"/>
        <v>5</v>
      </c>
      <c r="I90">
        <f t="shared" si="11"/>
        <v>13</v>
      </c>
      <c r="J90" t="str" cm="1">
        <f t="array" ref="J90">_xlfn.IFS(H90&lt;6,"Weekday",H90&gt;5,"Weekend")</f>
        <v>Weekday</v>
      </c>
    </row>
    <row r="91" spans="1:10" x14ac:dyDescent="0.25">
      <c r="A91" s="1">
        <v>45381</v>
      </c>
      <c r="B91" s="1" t="str" cm="1">
        <f t="array" ref="B91">_xlfn.IFS(H91=1,"Monday",H91=2,"Tuesday",H91=3,"Wednesday",H91=4,"Thursday",H91=5,"Friday",H91=6,"Saturday",H91=7,"Sunday")</f>
        <v>Saturday</v>
      </c>
      <c r="C91" s="1">
        <f t="shared" si="6"/>
        <v>45376</v>
      </c>
      <c r="D91" s="1">
        <f t="shared" si="7"/>
        <v>45352</v>
      </c>
      <c r="E91" s="1" cm="1">
        <f t="array" ref="E91">DATE(YEAR(A91),_xlfn.IFS(MONTH(A91)&lt;=3,1,MONTH(A91)&lt;=6,4,MONTH(A91)&lt;=9,7,MONTH(A91)&lt;=12,10),1)</f>
        <v>45292</v>
      </c>
      <c r="F91" s="1">
        <f t="shared" si="8"/>
        <v>45292</v>
      </c>
      <c r="G91">
        <f t="shared" si="9"/>
        <v>3</v>
      </c>
      <c r="H91">
        <f t="shared" si="10"/>
        <v>6</v>
      </c>
      <c r="I91">
        <f t="shared" si="11"/>
        <v>13</v>
      </c>
      <c r="J91" t="str" cm="1">
        <f t="array" ref="J91">_xlfn.IFS(H91&lt;6,"Weekday",H91&gt;5,"Weekend")</f>
        <v>Weekend</v>
      </c>
    </row>
    <row r="92" spans="1:10" x14ac:dyDescent="0.25">
      <c r="A92" s="1">
        <v>45382</v>
      </c>
      <c r="B92" s="1" t="str" cm="1">
        <f t="array" ref="B92">_xlfn.IFS(H92=1,"Monday",H92=2,"Tuesday",H92=3,"Wednesday",H92=4,"Thursday",H92=5,"Friday",H92=6,"Saturday",H92=7,"Sunday")</f>
        <v>Sunday</v>
      </c>
      <c r="C92" s="1">
        <f t="shared" si="6"/>
        <v>45376</v>
      </c>
      <c r="D92" s="1">
        <f t="shared" si="7"/>
        <v>45352</v>
      </c>
      <c r="E92" s="1" cm="1">
        <f t="array" ref="E92">DATE(YEAR(A92),_xlfn.IFS(MONTH(A92)&lt;=3,1,MONTH(A92)&lt;=6,4,MONTH(A92)&lt;=9,7,MONTH(A92)&lt;=12,10),1)</f>
        <v>45292</v>
      </c>
      <c r="F92" s="1">
        <f t="shared" si="8"/>
        <v>45292</v>
      </c>
      <c r="G92">
        <f t="shared" si="9"/>
        <v>3</v>
      </c>
      <c r="H92">
        <f t="shared" si="10"/>
        <v>7</v>
      </c>
      <c r="I92">
        <f t="shared" si="11"/>
        <v>13</v>
      </c>
      <c r="J92" t="str" cm="1">
        <f t="array" ref="J92">_xlfn.IFS(H92&lt;6,"Weekday",H92&gt;5,"Weekend")</f>
        <v>Weekend</v>
      </c>
    </row>
    <row r="93" spans="1:10" x14ac:dyDescent="0.25">
      <c r="A93" s="1">
        <v>45383</v>
      </c>
      <c r="B93" s="1" t="str" cm="1">
        <f t="array" ref="B93">_xlfn.IFS(H93=1,"Monday",H93=2,"Tuesday",H93=3,"Wednesday",H93=4,"Thursday",H93=5,"Friday",H93=6,"Saturday",H93=7,"Sunday")</f>
        <v>Monday</v>
      </c>
      <c r="C93" s="1">
        <f t="shared" si="6"/>
        <v>45383</v>
      </c>
      <c r="D93" s="1">
        <f t="shared" si="7"/>
        <v>45383</v>
      </c>
      <c r="E93" s="1" cm="1">
        <f t="array" ref="E93">DATE(YEAR(A93),_xlfn.IFS(MONTH(A93)&lt;=3,1,MONTH(A93)&lt;=6,4,MONTH(A93)&lt;=9,7,MONTH(A93)&lt;=12,10),1)</f>
        <v>45383</v>
      </c>
      <c r="F93" s="1">
        <f t="shared" si="8"/>
        <v>45292</v>
      </c>
      <c r="G93">
        <f t="shared" si="9"/>
        <v>4</v>
      </c>
      <c r="H93">
        <f t="shared" si="10"/>
        <v>1</v>
      </c>
      <c r="I93">
        <f t="shared" si="11"/>
        <v>14</v>
      </c>
      <c r="J93" t="str" cm="1">
        <f t="array" ref="J93">_xlfn.IFS(H93&lt;6,"Weekday",H93&gt;5,"Weekend")</f>
        <v>Weekday</v>
      </c>
    </row>
    <row r="94" spans="1:10" x14ac:dyDescent="0.25">
      <c r="A94" s="1">
        <v>45384</v>
      </c>
      <c r="B94" s="1" t="str" cm="1">
        <f t="array" ref="B94">_xlfn.IFS(H94=1,"Monday",H94=2,"Tuesday",H94=3,"Wednesday",H94=4,"Thursday",H94=5,"Friday",H94=6,"Saturday",H94=7,"Sunday")</f>
        <v>Tuesday</v>
      </c>
      <c r="C94" s="1">
        <f t="shared" si="6"/>
        <v>45383</v>
      </c>
      <c r="D94" s="1">
        <f t="shared" si="7"/>
        <v>45383</v>
      </c>
      <c r="E94" s="1" cm="1">
        <f t="array" ref="E94">DATE(YEAR(A94),_xlfn.IFS(MONTH(A94)&lt;=3,1,MONTH(A94)&lt;=6,4,MONTH(A94)&lt;=9,7,MONTH(A94)&lt;=12,10),1)</f>
        <v>45383</v>
      </c>
      <c r="F94" s="1">
        <f t="shared" si="8"/>
        <v>45292</v>
      </c>
      <c r="G94">
        <f t="shared" si="9"/>
        <v>4</v>
      </c>
      <c r="H94">
        <f t="shared" si="10"/>
        <v>2</v>
      </c>
      <c r="I94">
        <f t="shared" si="11"/>
        <v>14</v>
      </c>
      <c r="J94" t="str" cm="1">
        <f t="array" ref="J94">_xlfn.IFS(H94&lt;6,"Weekday",H94&gt;5,"Weekend")</f>
        <v>Weekday</v>
      </c>
    </row>
    <row r="95" spans="1:10" x14ac:dyDescent="0.25">
      <c r="A95" s="1">
        <v>45385</v>
      </c>
      <c r="B95" s="1" t="str" cm="1">
        <f t="array" ref="B95">_xlfn.IFS(H95=1,"Monday",H95=2,"Tuesday",H95=3,"Wednesday",H95=4,"Thursday",H95=5,"Friday",H95=6,"Saturday",H95=7,"Sunday")</f>
        <v>Wednesday</v>
      </c>
      <c r="C95" s="1">
        <f t="shared" si="6"/>
        <v>45383</v>
      </c>
      <c r="D95" s="1">
        <f t="shared" si="7"/>
        <v>45383</v>
      </c>
      <c r="E95" s="1" cm="1">
        <f t="array" ref="E95">DATE(YEAR(A95),_xlfn.IFS(MONTH(A95)&lt;=3,1,MONTH(A95)&lt;=6,4,MONTH(A95)&lt;=9,7,MONTH(A95)&lt;=12,10),1)</f>
        <v>45383</v>
      </c>
      <c r="F95" s="1">
        <f t="shared" si="8"/>
        <v>45292</v>
      </c>
      <c r="G95">
        <f t="shared" si="9"/>
        <v>4</v>
      </c>
      <c r="H95">
        <f t="shared" si="10"/>
        <v>3</v>
      </c>
      <c r="I95">
        <f t="shared" si="11"/>
        <v>14</v>
      </c>
      <c r="J95" t="str" cm="1">
        <f t="array" ref="J95">_xlfn.IFS(H95&lt;6,"Weekday",H95&gt;5,"Weekend")</f>
        <v>Weekday</v>
      </c>
    </row>
    <row r="96" spans="1:10" x14ac:dyDescent="0.25">
      <c r="A96" s="1">
        <v>45386</v>
      </c>
      <c r="B96" s="1" t="str" cm="1">
        <f t="array" ref="B96">_xlfn.IFS(H96=1,"Monday",H96=2,"Tuesday",H96=3,"Wednesday",H96=4,"Thursday",H96=5,"Friday",H96=6,"Saturday",H96=7,"Sunday")</f>
        <v>Thursday</v>
      </c>
      <c r="C96" s="1">
        <f t="shared" si="6"/>
        <v>45383</v>
      </c>
      <c r="D96" s="1">
        <f t="shared" si="7"/>
        <v>45383</v>
      </c>
      <c r="E96" s="1" cm="1">
        <f t="array" ref="E96">DATE(YEAR(A96),_xlfn.IFS(MONTH(A96)&lt;=3,1,MONTH(A96)&lt;=6,4,MONTH(A96)&lt;=9,7,MONTH(A96)&lt;=12,10),1)</f>
        <v>45383</v>
      </c>
      <c r="F96" s="1">
        <f t="shared" si="8"/>
        <v>45292</v>
      </c>
      <c r="G96">
        <f t="shared" si="9"/>
        <v>4</v>
      </c>
      <c r="H96">
        <f t="shared" si="10"/>
        <v>4</v>
      </c>
      <c r="I96">
        <f t="shared" si="11"/>
        <v>14</v>
      </c>
      <c r="J96" t="str" cm="1">
        <f t="array" ref="J96">_xlfn.IFS(H96&lt;6,"Weekday",H96&gt;5,"Weekend")</f>
        <v>Weekday</v>
      </c>
    </row>
    <row r="97" spans="1:10" x14ac:dyDescent="0.25">
      <c r="A97" s="1">
        <v>45387</v>
      </c>
      <c r="B97" s="1" t="str" cm="1">
        <f t="array" ref="B97">_xlfn.IFS(H97=1,"Monday",H97=2,"Tuesday",H97=3,"Wednesday",H97=4,"Thursday",H97=5,"Friday",H97=6,"Saturday",H97=7,"Sunday")</f>
        <v>Friday</v>
      </c>
      <c r="C97" s="1">
        <f t="shared" si="6"/>
        <v>45383</v>
      </c>
      <c r="D97" s="1">
        <f t="shared" si="7"/>
        <v>45383</v>
      </c>
      <c r="E97" s="1" cm="1">
        <f t="array" ref="E97">DATE(YEAR(A97),_xlfn.IFS(MONTH(A97)&lt;=3,1,MONTH(A97)&lt;=6,4,MONTH(A97)&lt;=9,7,MONTH(A97)&lt;=12,10),1)</f>
        <v>45383</v>
      </c>
      <c r="F97" s="1">
        <f t="shared" si="8"/>
        <v>45292</v>
      </c>
      <c r="G97">
        <f t="shared" si="9"/>
        <v>4</v>
      </c>
      <c r="H97">
        <f t="shared" si="10"/>
        <v>5</v>
      </c>
      <c r="I97">
        <f t="shared" si="11"/>
        <v>14</v>
      </c>
      <c r="J97" t="str" cm="1">
        <f t="array" ref="J97">_xlfn.IFS(H97&lt;6,"Weekday",H97&gt;5,"Weekend")</f>
        <v>Weekday</v>
      </c>
    </row>
    <row r="98" spans="1:10" x14ac:dyDescent="0.25">
      <c r="A98" s="1">
        <v>45388</v>
      </c>
      <c r="B98" s="1" t="str" cm="1">
        <f t="array" ref="B98">_xlfn.IFS(H98=1,"Monday",H98=2,"Tuesday",H98=3,"Wednesday",H98=4,"Thursday",H98=5,"Friday",H98=6,"Saturday",H98=7,"Sunday")</f>
        <v>Saturday</v>
      </c>
      <c r="C98" s="1">
        <f t="shared" si="6"/>
        <v>45383</v>
      </c>
      <c r="D98" s="1">
        <f t="shared" si="7"/>
        <v>45383</v>
      </c>
      <c r="E98" s="1" cm="1">
        <f t="array" ref="E98">DATE(YEAR(A98),_xlfn.IFS(MONTH(A98)&lt;=3,1,MONTH(A98)&lt;=6,4,MONTH(A98)&lt;=9,7,MONTH(A98)&lt;=12,10),1)</f>
        <v>45383</v>
      </c>
      <c r="F98" s="1">
        <f t="shared" si="8"/>
        <v>45292</v>
      </c>
      <c r="G98">
        <f t="shared" si="9"/>
        <v>4</v>
      </c>
      <c r="H98">
        <f t="shared" si="10"/>
        <v>6</v>
      </c>
      <c r="I98">
        <f t="shared" si="11"/>
        <v>14</v>
      </c>
      <c r="J98" t="str" cm="1">
        <f t="array" ref="J98">_xlfn.IFS(H98&lt;6,"Weekday",H98&gt;5,"Weekend")</f>
        <v>Weekend</v>
      </c>
    </row>
    <row r="99" spans="1:10" x14ac:dyDescent="0.25">
      <c r="A99" s="1">
        <v>45389</v>
      </c>
      <c r="B99" s="1" t="str" cm="1">
        <f t="array" ref="B99">_xlfn.IFS(H99=1,"Monday",H99=2,"Tuesday",H99=3,"Wednesday",H99=4,"Thursday",H99=5,"Friday",H99=6,"Saturday",H99=7,"Sunday")</f>
        <v>Sunday</v>
      </c>
      <c r="C99" s="1">
        <f t="shared" si="6"/>
        <v>45383</v>
      </c>
      <c r="D99" s="1">
        <f t="shared" si="7"/>
        <v>45383</v>
      </c>
      <c r="E99" s="1" cm="1">
        <f t="array" ref="E99">DATE(YEAR(A99),_xlfn.IFS(MONTH(A99)&lt;=3,1,MONTH(A99)&lt;=6,4,MONTH(A99)&lt;=9,7,MONTH(A99)&lt;=12,10),1)</f>
        <v>45383</v>
      </c>
      <c r="F99" s="1">
        <f t="shared" si="8"/>
        <v>45292</v>
      </c>
      <c r="G99">
        <f t="shared" si="9"/>
        <v>4</v>
      </c>
      <c r="H99">
        <f t="shared" si="10"/>
        <v>7</v>
      </c>
      <c r="I99">
        <f t="shared" si="11"/>
        <v>14</v>
      </c>
      <c r="J99" t="str" cm="1">
        <f t="array" ref="J99">_xlfn.IFS(H99&lt;6,"Weekday",H99&gt;5,"Weekend")</f>
        <v>Weekend</v>
      </c>
    </row>
    <row r="100" spans="1:10" x14ac:dyDescent="0.25">
      <c r="A100" s="1">
        <v>45390</v>
      </c>
      <c r="B100" s="1" t="str" cm="1">
        <f t="array" ref="B100">_xlfn.IFS(H100=1,"Monday",H100=2,"Tuesday",H100=3,"Wednesday",H100=4,"Thursday",H100=5,"Friday",H100=6,"Saturday",H100=7,"Sunday")</f>
        <v>Monday</v>
      </c>
      <c r="C100" s="1">
        <f t="shared" si="6"/>
        <v>45390</v>
      </c>
      <c r="D100" s="1">
        <f t="shared" si="7"/>
        <v>45383</v>
      </c>
      <c r="E100" s="1" cm="1">
        <f t="array" ref="E100">DATE(YEAR(A100),_xlfn.IFS(MONTH(A100)&lt;=3,1,MONTH(A100)&lt;=6,4,MONTH(A100)&lt;=9,7,MONTH(A100)&lt;=12,10),1)</f>
        <v>45383</v>
      </c>
      <c r="F100" s="1">
        <f t="shared" si="8"/>
        <v>45292</v>
      </c>
      <c r="G100">
        <f t="shared" si="9"/>
        <v>4</v>
      </c>
      <c r="H100">
        <f t="shared" si="10"/>
        <v>1</v>
      </c>
      <c r="I100">
        <f t="shared" si="11"/>
        <v>15</v>
      </c>
      <c r="J100" t="str" cm="1">
        <f t="array" ref="J100">_xlfn.IFS(H100&lt;6,"Weekday",H100&gt;5,"Weekend")</f>
        <v>Weekday</v>
      </c>
    </row>
    <row r="101" spans="1:10" x14ac:dyDescent="0.25">
      <c r="A101" s="1">
        <v>45391</v>
      </c>
      <c r="B101" s="1" t="str" cm="1">
        <f t="array" ref="B101">_xlfn.IFS(H101=1,"Monday",H101=2,"Tuesday",H101=3,"Wednesday",H101=4,"Thursday",H101=5,"Friday",H101=6,"Saturday",H101=7,"Sunday")</f>
        <v>Tuesday</v>
      </c>
      <c r="C101" s="1">
        <f t="shared" si="6"/>
        <v>45390</v>
      </c>
      <c r="D101" s="1">
        <f t="shared" si="7"/>
        <v>45383</v>
      </c>
      <c r="E101" s="1" cm="1">
        <f t="array" ref="E101">DATE(YEAR(A101),_xlfn.IFS(MONTH(A101)&lt;=3,1,MONTH(A101)&lt;=6,4,MONTH(A101)&lt;=9,7,MONTH(A101)&lt;=12,10),1)</f>
        <v>45383</v>
      </c>
      <c r="F101" s="1">
        <f t="shared" si="8"/>
        <v>45292</v>
      </c>
      <c r="G101">
        <f t="shared" si="9"/>
        <v>4</v>
      </c>
      <c r="H101">
        <f t="shared" si="10"/>
        <v>2</v>
      </c>
      <c r="I101">
        <f t="shared" si="11"/>
        <v>15</v>
      </c>
      <c r="J101" t="str" cm="1">
        <f t="array" ref="J101">_xlfn.IFS(H101&lt;6,"Weekday",H101&gt;5,"Weekend")</f>
        <v>Weekday</v>
      </c>
    </row>
    <row r="102" spans="1:10" x14ac:dyDescent="0.25">
      <c r="A102" s="1">
        <v>45392</v>
      </c>
      <c r="B102" s="1" t="str" cm="1">
        <f t="array" ref="B102">_xlfn.IFS(H102=1,"Monday",H102=2,"Tuesday",H102=3,"Wednesday",H102=4,"Thursday",H102=5,"Friday",H102=6,"Saturday",H102=7,"Sunday")</f>
        <v>Wednesday</v>
      </c>
      <c r="C102" s="1">
        <f t="shared" si="6"/>
        <v>45390</v>
      </c>
      <c r="D102" s="1">
        <f t="shared" si="7"/>
        <v>45383</v>
      </c>
      <c r="E102" s="1" cm="1">
        <f t="array" ref="E102">DATE(YEAR(A102),_xlfn.IFS(MONTH(A102)&lt;=3,1,MONTH(A102)&lt;=6,4,MONTH(A102)&lt;=9,7,MONTH(A102)&lt;=12,10),1)</f>
        <v>45383</v>
      </c>
      <c r="F102" s="1">
        <f t="shared" si="8"/>
        <v>45292</v>
      </c>
      <c r="G102">
        <f t="shared" si="9"/>
        <v>4</v>
      </c>
      <c r="H102">
        <f t="shared" si="10"/>
        <v>3</v>
      </c>
      <c r="I102">
        <f t="shared" si="11"/>
        <v>15</v>
      </c>
      <c r="J102" t="str" cm="1">
        <f t="array" ref="J102">_xlfn.IFS(H102&lt;6,"Weekday",H102&gt;5,"Weekend")</f>
        <v>Weekday</v>
      </c>
    </row>
    <row r="103" spans="1:10" x14ac:dyDescent="0.25">
      <c r="A103" s="1">
        <v>45393</v>
      </c>
      <c r="B103" s="1" t="str" cm="1">
        <f t="array" ref="B103">_xlfn.IFS(H103=1,"Monday",H103=2,"Tuesday",H103=3,"Wednesday",H103=4,"Thursday",H103=5,"Friday",H103=6,"Saturday",H103=7,"Sunday")</f>
        <v>Thursday</v>
      </c>
      <c r="C103" s="1">
        <f t="shared" si="6"/>
        <v>45390</v>
      </c>
      <c r="D103" s="1">
        <f t="shared" si="7"/>
        <v>45383</v>
      </c>
      <c r="E103" s="1" cm="1">
        <f t="array" ref="E103">DATE(YEAR(A103),_xlfn.IFS(MONTH(A103)&lt;=3,1,MONTH(A103)&lt;=6,4,MONTH(A103)&lt;=9,7,MONTH(A103)&lt;=12,10),1)</f>
        <v>45383</v>
      </c>
      <c r="F103" s="1">
        <f t="shared" si="8"/>
        <v>45292</v>
      </c>
      <c r="G103">
        <f t="shared" si="9"/>
        <v>4</v>
      </c>
      <c r="H103">
        <f t="shared" si="10"/>
        <v>4</v>
      </c>
      <c r="I103">
        <f t="shared" si="11"/>
        <v>15</v>
      </c>
      <c r="J103" t="str" cm="1">
        <f t="array" ref="J103">_xlfn.IFS(H103&lt;6,"Weekday",H103&gt;5,"Weekend")</f>
        <v>Weekday</v>
      </c>
    </row>
    <row r="104" spans="1:10" x14ac:dyDescent="0.25">
      <c r="A104" s="1">
        <v>45394</v>
      </c>
      <c r="B104" s="1" t="str" cm="1">
        <f t="array" ref="B104">_xlfn.IFS(H104=1,"Monday",H104=2,"Tuesday",H104=3,"Wednesday",H104=4,"Thursday",H104=5,"Friday",H104=6,"Saturday",H104=7,"Sunday")</f>
        <v>Friday</v>
      </c>
      <c r="C104" s="1">
        <f t="shared" si="6"/>
        <v>45390</v>
      </c>
      <c r="D104" s="1">
        <f t="shared" si="7"/>
        <v>45383</v>
      </c>
      <c r="E104" s="1" cm="1">
        <f t="array" ref="E104">DATE(YEAR(A104),_xlfn.IFS(MONTH(A104)&lt;=3,1,MONTH(A104)&lt;=6,4,MONTH(A104)&lt;=9,7,MONTH(A104)&lt;=12,10),1)</f>
        <v>45383</v>
      </c>
      <c r="F104" s="1">
        <f t="shared" si="8"/>
        <v>45292</v>
      </c>
      <c r="G104">
        <f t="shared" si="9"/>
        <v>4</v>
      </c>
      <c r="H104">
        <f t="shared" si="10"/>
        <v>5</v>
      </c>
      <c r="I104">
        <f t="shared" si="11"/>
        <v>15</v>
      </c>
      <c r="J104" t="str" cm="1">
        <f t="array" ref="J104">_xlfn.IFS(H104&lt;6,"Weekday",H104&gt;5,"Weekend")</f>
        <v>Weekday</v>
      </c>
    </row>
    <row r="105" spans="1:10" x14ac:dyDescent="0.25">
      <c r="A105" s="1">
        <v>45395</v>
      </c>
      <c r="B105" s="1" t="str" cm="1">
        <f t="array" ref="B105">_xlfn.IFS(H105=1,"Monday",H105=2,"Tuesday",H105=3,"Wednesday",H105=4,"Thursday",H105=5,"Friday",H105=6,"Saturday",H105=7,"Sunday")</f>
        <v>Saturday</v>
      </c>
      <c r="C105" s="1">
        <f t="shared" si="6"/>
        <v>45390</v>
      </c>
      <c r="D105" s="1">
        <f t="shared" si="7"/>
        <v>45383</v>
      </c>
      <c r="E105" s="1" cm="1">
        <f t="array" ref="E105">DATE(YEAR(A105),_xlfn.IFS(MONTH(A105)&lt;=3,1,MONTH(A105)&lt;=6,4,MONTH(A105)&lt;=9,7,MONTH(A105)&lt;=12,10),1)</f>
        <v>45383</v>
      </c>
      <c r="F105" s="1">
        <f t="shared" si="8"/>
        <v>45292</v>
      </c>
      <c r="G105">
        <f t="shared" si="9"/>
        <v>4</v>
      </c>
      <c r="H105">
        <f t="shared" si="10"/>
        <v>6</v>
      </c>
      <c r="I105">
        <f t="shared" si="11"/>
        <v>15</v>
      </c>
      <c r="J105" t="str" cm="1">
        <f t="array" ref="J105">_xlfn.IFS(H105&lt;6,"Weekday",H105&gt;5,"Weekend")</f>
        <v>Weekend</v>
      </c>
    </row>
    <row r="106" spans="1:10" x14ac:dyDescent="0.25">
      <c r="A106" s="1">
        <v>45396</v>
      </c>
      <c r="B106" s="1" t="str" cm="1">
        <f t="array" ref="B106">_xlfn.IFS(H106=1,"Monday",H106=2,"Tuesday",H106=3,"Wednesday",H106=4,"Thursday",H106=5,"Friday",H106=6,"Saturday",H106=7,"Sunday")</f>
        <v>Sunday</v>
      </c>
      <c r="C106" s="1">
        <f t="shared" si="6"/>
        <v>45390</v>
      </c>
      <c r="D106" s="1">
        <f t="shared" si="7"/>
        <v>45383</v>
      </c>
      <c r="E106" s="1" cm="1">
        <f t="array" ref="E106">DATE(YEAR(A106),_xlfn.IFS(MONTH(A106)&lt;=3,1,MONTH(A106)&lt;=6,4,MONTH(A106)&lt;=9,7,MONTH(A106)&lt;=12,10),1)</f>
        <v>45383</v>
      </c>
      <c r="F106" s="1">
        <f t="shared" si="8"/>
        <v>45292</v>
      </c>
      <c r="G106">
        <f t="shared" si="9"/>
        <v>4</v>
      </c>
      <c r="H106">
        <f t="shared" si="10"/>
        <v>7</v>
      </c>
      <c r="I106">
        <f t="shared" si="11"/>
        <v>15</v>
      </c>
      <c r="J106" t="str" cm="1">
        <f t="array" ref="J106">_xlfn.IFS(H106&lt;6,"Weekday",H106&gt;5,"Weekend")</f>
        <v>Weekend</v>
      </c>
    </row>
    <row r="107" spans="1:10" x14ac:dyDescent="0.25">
      <c r="A107" s="1">
        <v>45397</v>
      </c>
      <c r="B107" s="1" t="str" cm="1">
        <f t="array" ref="B107">_xlfn.IFS(H107=1,"Monday",H107=2,"Tuesday",H107=3,"Wednesday",H107=4,"Thursday",H107=5,"Friday",H107=6,"Saturday",H107=7,"Sunday")</f>
        <v>Monday</v>
      </c>
      <c r="C107" s="1">
        <f t="shared" si="6"/>
        <v>45397</v>
      </c>
      <c r="D107" s="1">
        <f t="shared" si="7"/>
        <v>45383</v>
      </c>
      <c r="E107" s="1" cm="1">
        <f t="array" ref="E107">DATE(YEAR(A107),_xlfn.IFS(MONTH(A107)&lt;=3,1,MONTH(A107)&lt;=6,4,MONTH(A107)&lt;=9,7,MONTH(A107)&lt;=12,10),1)</f>
        <v>45383</v>
      </c>
      <c r="F107" s="1">
        <f t="shared" si="8"/>
        <v>45292</v>
      </c>
      <c r="G107">
        <f t="shared" si="9"/>
        <v>4</v>
      </c>
      <c r="H107">
        <f t="shared" si="10"/>
        <v>1</v>
      </c>
      <c r="I107">
        <f t="shared" si="11"/>
        <v>16</v>
      </c>
      <c r="J107" t="str" cm="1">
        <f t="array" ref="J107">_xlfn.IFS(H107&lt;6,"Weekday",H107&gt;5,"Weekend")</f>
        <v>Weekday</v>
      </c>
    </row>
    <row r="108" spans="1:10" x14ac:dyDescent="0.25">
      <c r="A108" s="1">
        <v>45398</v>
      </c>
      <c r="B108" s="1" t="str" cm="1">
        <f t="array" ref="B108">_xlfn.IFS(H108=1,"Monday",H108=2,"Tuesday",H108=3,"Wednesday",H108=4,"Thursday",H108=5,"Friday",H108=6,"Saturday",H108=7,"Sunday")</f>
        <v>Tuesday</v>
      </c>
      <c r="C108" s="1">
        <f t="shared" si="6"/>
        <v>45397</v>
      </c>
      <c r="D108" s="1">
        <f t="shared" si="7"/>
        <v>45383</v>
      </c>
      <c r="E108" s="1" cm="1">
        <f t="array" ref="E108">DATE(YEAR(A108),_xlfn.IFS(MONTH(A108)&lt;=3,1,MONTH(A108)&lt;=6,4,MONTH(A108)&lt;=9,7,MONTH(A108)&lt;=12,10),1)</f>
        <v>45383</v>
      </c>
      <c r="F108" s="1">
        <f t="shared" si="8"/>
        <v>45292</v>
      </c>
      <c r="G108">
        <f t="shared" si="9"/>
        <v>4</v>
      </c>
      <c r="H108">
        <f t="shared" si="10"/>
        <v>2</v>
      </c>
      <c r="I108">
        <f t="shared" si="11"/>
        <v>16</v>
      </c>
      <c r="J108" t="str" cm="1">
        <f t="array" ref="J108">_xlfn.IFS(H108&lt;6,"Weekday",H108&gt;5,"Weekend")</f>
        <v>Weekday</v>
      </c>
    </row>
    <row r="109" spans="1:10" x14ac:dyDescent="0.25">
      <c r="A109" s="1">
        <v>45399</v>
      </c>
      <c r="B109" s="1" t="str" cm="1">
        <f t="array" ref="B109">_xlfn.IFS(H109=1,"Monday",H109=2,"Tuesday",H109=3,"Wednesday",H109=4,"Thursday",H109=5,"Friday",H109=6,"Saturday",H109=7,"Sunday")</f>
        <v>Wednesday</v>
      </c>
      <c r="C109" s="1">
        <f t="shared" si="6"/>
        <v>45397</v>
      </c>
      <c r="D109" s="1">
        <f t="shared" si="7"/>
        <v>45383</v>
      </c>
      <c r="E109" s="1" cm="1">
        <f t="array" ref="E109">DATE(YEAR(A109),_xlfn.IFS(MONTH(A109)&lt;=3,1,MONTH(A109)&lt;=6,4,MONTH(A109)&lt;=9,7,MONTH(A109)&lt;=12,10),1)</f>
        <v>45383</v>
      </c>
      <c r="F109" s="1">
        <f t="shared" si="8"/>
        <v>45292</v>
      </c>
      <c r="G109">
        <f t="shared" si="9"/>
        <v>4</v>
      </c>
      <c r="H109">
        <f t="shared" si="10"/>
        <v>3</v>
      </c>
      <c r="I109">
        <f t="shared" si="11"/>
        <v>16</v>
      </c>
      <c r="J109" t="str" cm="1">
        <f t="array" ref="J109">_xlfn.IFS(H109&lt;6,"Weekday",H109&gt;5,"Weekend")</f>
        <v>Weekday</v>
      </c>
    </row>
    <row r="110" spans="1:10" x14ac:dyDescent="0.25">
      <c r="A110" s="1">
        <v>45400</v>
      </c>
      <c r="B110" s="1" t="str" cm="1">
        <f t="array" ref="B110">_xlfn.IFS(H110=1,"Monday",H110=2,"Tuesday",H110=3,"Wednesday",H110=4,"Thursday",H110=5,"Friday",H110=6,"Saturday",H110=7,"Sunday")</f>
        <v>Thursday</v>
      </c>
      <c r="C110" s="1">
        <f t="shared" si="6"/>
        <v>45397</v>
      </c>
      <c r="D110" s="1">
        <f t="shared" si="7"/>
        <v>45383</v>
      </c>
      <c r="E110" s="1" cm="1">
        <f t="array" ref="E110">DATE(YEAR(A110),_xlfn.IFS(MONTH(A110)&lt;=3,1,MONTH(A110)&lt;=6,4,MONTH(A110)&lt;=9,7,MONTH(A110)&lt;=12,10),1)</f>
        <v>45383</v>
      </c>
      <c r="F110" s="1">
        <f t="shared" si="8"/>
        <v>45292</v>
      </c>
      <c r="G110">
        <f t="shared" si="9"/>
        <v>4</v>
      </c>
      <c r="H110">
        <f t="shared" si="10"/>
        <v>4</v>
      </c>
      <c r="I110">
        <f t="shared" si="11"/>
        <v>16</v>
      </c>
      <c r="J110" t="str" cm="1">
        <f t="array" ref="J110">_xlfn.IFS(H110&lt;6,"Weekday",H110&gt;5,"Weekend")</f>
        <v>Weekday</v>
      </c>
    </row>
    <row r="111" spans="1:10" x14ac:dyDescent="0.25">
      <c r="A111" s="1">
        <v>45401</v>
      </c>
      <c r="B111" s="1" t="str" cm="1">
        <f t="array" ref="B111">_xlfn.IFS(H111=1,"Monday",H111=2,"Tuesday",H111=3,"Wednesday",H111=4,"Thursday",H111=5,"Friday",H111=6,"Saturday",H111=7,"Sunday")</f>
        <v>Friday</v>
      </c>
      <c r="C111" s="1">
        <f t="shared" si="6"/>
        <v>45397</v>
      </c>
      <c r="D111" s="1">
        <f t="shared" si="7"/>
        <v>45383</v>
      </c>
      <c r="E111" s="1" cm="1">
        <f t="array" ref="E111">DATE(YEAR(A111),_xlfn.IFS(MONTH(A111)&lt;=3,1,MONTH(A111)&lt;=6,4,MONTH(A111)&lt;=9,7,MONTH(A111)&lt;=12,10),1)</f>
        <v>45383</v>
      </c>
      <c r="F111" s="1">
        <f t="shared" si="8"/>
        <v>45292</v>
      </c>
      <c r="G111">
        <f t="shared" si="9"/>
        <v>4</v>
      </c>
      <c r="H111">
        <f t="shared" si="10"/>
        <v>5</v>
      </c>
      <c r="I111">
        <f t="shared" si="11"/>
        <v>16</v>
      </c>
      <c r="J111" t="str" cm="1">
        <f t="array" ref="J111">_xlfn.IFS(H111&lt;6,"Weekday",H111&gt;5,"Weekend")</f>
        <v>Weekday</v>
      </c>
    </row>
    <row r="112" spans="1:10" x14ac:dyDescent="0.25">
      <c r="A112" s="1">
        <v>45402</v>
      </c>
      <c r="B112" s="1" t="str" cm="1">
        <f t="array" ref="B112">_xlfn.IFS(H112=1,"Monday",H112=2,"Tuesday",H112=3,"Wednesday",H112=4,"Thursday",H112=5,"Friday",H112=6,"Saturday",H112=7,"Sunday")</f>
        <v>Saturday</v>
      </c>
      <c r="C112" s="1">
        <f t="shared" si="6"/>
        <v>45397</v>
      </c>
      <c r="D112" s="1">
        <f t="shared" si="7"/>
        <v>45383</v>
      </c>
      <c r="E112" s="1" cm="1">
        <f t="array" ref="E112">DATE(YEAR(A112),_xlfn.IFS(MONTH(A112)&lt;=3,1,MONTH(A112)&lt;=6,4,MONTH(A112)&lt;=9,7,MONTH(A112)&lt;=12,10),1)</f>
        <v>45383</v>
      </c>
      <c r="F112" s="1">
        <f t="shared" si="8"/>
        <v>45292</v>
      </c>
      <c r="G112">
        <f t="shared" si="9"/>
        <v>4</v>
      </c>
      <c r="H112">
        <f t="shared" si="10"/>
        <v>6</v>
      </c>
      <c r="I112">
        <f t="shared" si="11"/>
        <v>16</v>
      </c>
      <c r="J112" t="str" cm="1">
        <f t="array" ref="J112">_xlfn.IFS(H112&lt;6,"Weekday",H112&gt;5,"Weekend")</f>
        <v>Weekend</v>
      </c>
    </row>
    <row r="113" spans="1:10" x14ac:dyDescent="0.25">
      <c r="A113" s="1">
        <v>45403</v>
      </c>
      <c r="B113" s="1" t="str" cm="1">
        <f t="array" ref="B113">_xlfn.IFS(H113=1,"Monday",H113=2,"Tuesday",H113=3,"Wednesday",H113=4,"Thursday",H113=5,"Friday",H113=6,"Saturday",H113=7,"Sunday")</f>
        <v>Sunday</v>
      </c>
      <c r="C113" s="1">
        <f t="shared" si="6"/>
        <v>45397</v>
      </c>
      <c r="D113" s="1">
        <f t="shared" si="7"/>
        <v>45383</v>
      </c>
      <c r="E113" s="1" cm="1">
        <f t="array" ref="E113">DATE(YEAR(A113),_xlfn.IFS(MONTH(A113)&lt;=3,1,MONTH(A113)&lt;=6,4,MONTH(A113)&lt;=9,7,MONTH(A113)&lt;=12,10),1)</f>
        <v>45383</v>
      </c>
      <c r="F113" s="1">
        <f t="shared" si="8"/>
        <v>45292</v>
      </c>
      <c r="G113">
        <f t="shared" si="9"/>
        <v>4</v>
      </c>
      <c r="H113">
        <f t="shared" si="10"/>
        <v>7</v>
      </c>
      <c r="I113">
        <f t="shared" si="11"/>
        <v>16</v>
      </c>
      <c r="J113" t="str" cm="1">
        <f t="array" ref="J113">_xlfn.IFS(H113&lt;6,"Weekday",H113&gt;5,"Weekend")</f>
        <v>Weekend</v>
      </c>
    </row>
    <row r="114" spans="1:10" x14ac:dyDescent="0.25">
      <c r="A114" s="1">
        <v>45404</v>
      </c>
      <c r="B114" s="1" t="str" cm="1">
        <f t="array" ref="B114">_xlfn.IFS(H114=1,"Monday",H114=2,"Tuesday",H114=3,"Wednesday",H114=4,"Thursday",H114=5,"Friday",H114=6,"Saturday",H114=7,"Sunday")</f>
        <v>Monday</v>
      </c>
      <c r="C114" s="1">
        <f t="shared" si="6"/>
        <v>45404</v>
      </c>
      <c r="D114" s="1">
        <f t="shared" si="7"/>
        <v>45383</v>
      </c>
      <c r="E114" s="1" cm="1">
        <f t="array" ref="E114">DATE(YEAR(A114),_xlfn.IFS(MONTH(A114)&lt;=3,1,MONTH(A114)&lt;=6,4,MONTH(A114)&lt;=9,7,MONTH(A114)&lt;=12,10),1)</f>
        <v>45383</v>
      </c>
      <c r="F114" s="1">
        <f t="shared" si="8"/>
        <v>45292</v>
      </c>
      <c r="G114">
        <f t="shared" si="9"/>
        <v>4</v>
      </c>
      <c r="H114">
        <f t="shared" si="10"/>
        <v>1</v>
      </c>
      <c r="I114">
        <f t="shared" si="11"/>
        <v>17</v>
      </c>
      <c r="J114" t="str" cm="1">
        <f t="array" ref="J114">_xlfn.IFS(H114&lt;6,"Weekday",H114&gt;5,"Weekend")</f>
        <v>Weekday</v>
      </c>
    </row>
    <row r="115" spans="1:10" x14ac:dyDescent="0.25">
      <c r="A115" s="1">
        <v>45405</v>
      </c>
      <c r="B115" s="1" t="str" cm="1">
        <f t="array" ref="B115">_xlfn.IFS(H115=1,"Monday",H115=2,"Tuesday",H115=3,"Wednesday",H115=4,"Thursday",H115=5,"Friday",H115=6,"Saturday",H115=7,"Sunday")</f>
        <v>Tuesday</v>
      </c>
      <c r="C115" s="1">
        <f t="shared" si="6"/>
        <v>45404</v>
      </c>
      <c r="D115" s="1">
        <f t="shared" si="7"/>
        <v>45383</v>
      </c>
      <c r="E115" s="1" cm="1">
        <f t="array" ref="E115">DATE(YEAR(A115),_xlfn.IFS(MONTH(A115)&lt;=3,1,MONTH(A115)&lt;=6,4,MONTH(A115)&lt;=9,7,MONTH(A115)&lt;=12,10),1)</f>
        <v>45383</v>
      </c>
      <c r="F115" s="1">
        <f t="shared" si="8"/>
        <v>45292</v>
      </c>
      <c r="G115">
        <f t="shared" si="9"/>
        <v>4</v>
      </c>
      <c r="H115">
        <f t="shared" si="10"/>
        <v>2</v>
      </c>
      <c r="I115">
        <f t="shared" si="11"/>
        <v>17</v>
      </c>
      <c r="J115" t="str" cm="1">
        <f t="array" ref="J115">_xlfn.IFS(H115&lt;6,"Weekday",H115&gt;5,"Weekend")</f>
        <v>Weekday</v>
      </c>
    </row>
    <row r="116" spans="1:10" x14ac:dyDescent="0.25">
      <c r="A116" s="1">
        <v>45406</v>
      </c>
      <c r="B116" s="1" t="str" cm="1">
        <f t="array" ref="B116">_xlfn.IFS(H116=1,"Monday",H116=2,"Tuesday",H116=3,"Wednesday",H116=4,"Thursday",H116=5,"Friday",H116=6,"Saturday",H116=7,"Sunday")</f>
        <v>Wednesday</v>
      </c>
      <c r="C116" s="1">
        <f t="shared" si="6"/>
        <v>45404</v>
      </c>
      <c r="D116" s="1">
        <f t="shared" si="7"/>
        <v>45383</v>
      </c>
      <c r="E116" s="1" cm="1">
        <f t="array" ref="E116">DATE(YEAR(A116),_xlfn.IFS(MONTH(A116)&lt;=3,1,MONTH(A116)&lt;=6,4,MONTH(A116)&lt;=9,7,MONTH(A116)&lt;=12,10),1)</f>
        <v>45383</v>
      </c>
      <c r="F116" s="1">
        <f t="shared" si="8"/>
        <v>45292</v>
      </c>
      <c r="G116">
        <f t="shared" si="9"/>
        <v>4</v>
      </c>
      <c r="H116">
        <f t="shared" si="10"/>
        <v>3</v>
      </c>
      <c r="I116">
        <f t="shared" si="11"/>
        <v>17</v>
      </c>
      <c r="J116" t="str" cm="1">
        <f t="array" ref="J116">_xlfn.IFS(H116&lt;6,"Weekday",H116&gt;5,"Weekend")</f>
        <v>Weekday</v>
      </c>
    </row>
    <row r="117" spans="1:10" x14ac:dyDescent="0.25">
      <c r="A117" s="1">
        <v>45407</v>
      </c>
      <c r="B117" s="1" t="str" cm="1">
        <f t="array" ref="B117">_xlfn.IFS(H117=1,"Monday",H117=2,"Tuesday",H117=3,"Wednesday",H117=4,"Thursday",H117=5,"Friday",H117=6,"Saturday",H117=7,"Sunday")</f>
        <v>Thursday</v>
      </c>
      <c r="C117" s="1">
        <f t="shared" si="6"/>
        <v>45404</v>
      </c>
      <c r="D117" s="1">
        <f t="shared" si="7"/>
        <v>45383</v>
      </c>
      <c r="E117" s="1" cm="1">
        <f t="array" ref="E117">DATE(YEAR(A117),_xlfn.IFS(MONTH(A117)&lt;=3,1,MONTH(A117)&lt;=6,4,MONTH(A117)&lt;=9,7,MONTH(A117)&lt;=12,10),1)</f>
        <v>45383</v>
      </c>
      <c r="F117" s="1">
        <f t="shared" si="8"/>
        <v>45292</v>
      </c>
      <c r="G117">
        <f t="shared" si="9"/>
        <v>4</v>
      </c>
      <c r="H117">
        <f t="shared" si="10"/>
        <v>4</v>
      </c>
      <c r="I117">
        <f t="shared" si="11"/>
        <v>17</v>
      </c>
      <c r="J117" t="str" cm="1">
        <f t="array" ref="J117">_xlfn.IFS(H117&lt;6,"Weekday",H117&gt;5,"Weekend")</f>
        <v>Weekday</v>
      </c>
    </row>
    <row r="118" spans="1:10" x14ac:dyDescent="0.25">
      <c r="A118" s="1">
        <v>45408</v>
      </c>
      <c r="B118" s="1" t="str" cm="1">
        <f t="array" ref="B118">_xlfn.IFS(H118=1,"Monday",H118=2,"Tuesday",H118=3,"Wednesday",H118=4,"Thursday",H118=5,"Friday",H118=6,"Saturday",H118=7,"Sunday")</f>
        <v>Friday</v>
      </c>
      <c r="C118" s="1">
        <f t="shared" si="6"/>
        <v>45404</v>
      </c>
      <c r="D118" s="1">
        <f t="shared" si="7"/>
        <v>45383</v>
      </c>
      <c r="E118" s="1" cm="1">
        <f t="array" ref="E118">DATE(YEAR(A118),_xlfn.IFS(MONTH(A118)&lt;=3,1,MONTH(A118)&lt;=6,4,MONTH(A118)&lt;=9,7,MONTH(A118)&lt;=12,10),1)</f>
        <v>45383</v>
      </c>
      <c r="F118" s="1">
        <f t="shared" si="8"/>
        <v>45292</v>
      </c>
      <c r="G118">
        <f t="shared" si="9"/>
        <v>4</v>
      </c>
      <c r="H118">
        <f t="shared" si="10"/>
        <v>5</v>
      </c>
      <c r="I118">
        <f t="shared" si="11"/>
        <v>17</v>
      </c>
      <c r="J118" t="str" cm="1">
        <f t="array" ref="J118">_xlfn.IFS(H118&lt;6,"Weekday",H118&gt;5,"Weekend")</f>
        <v>Weekday</v>
      </c>
    </row>
    <row r="119" spans="1:10" x14ac:dyDescent="0.25">
      <c r="A119" s="1">
        <v>45409</v>
      </c>
      <c r="B119" s="1" t="str" cm="1">
        <f t="array" ref="B119">_xlfn.IFS(H119=1,"Monday",H119=2,"Tuesday",H119=3,"Wednesday",H119=4,"Thursday",H119=5,"Friday",H119=6,"Saturday",H119=7,"Sunday")</f>
        <v>Saturday</v>
      </c>
      <c r="C119" s="1">
        <f t="shared" si="6"/>
        <v>45404</v>
      </c>
      <c r="D119" s="1">
        <f t="shared" si="7"/>
        <v>45383</v>
      </c>
      <c r="E119" s="1" cm="1">
        <f t="array" ref="E119">DATE(YEAR(A119),_xlfn.IFS(MONTH(A119)&lt;=3,1,MONTH(A119)&lt;=6,4,MONTH(A119)&lt;=9,7,MONTH(A119)&lt;=12,10),1)</f>
        <v>45383</v>
      </c>
      <c r="F119" s="1">
        <f t="shared" si="8"/>
        <v>45292</v>
      </c>
      <c r="G119">
        <f t="shared" si="9"/>
        <v>4</v>
      </c>
      <c r="H119">
        <f t="shared" si="10"/>
        <v>6</v>
      </c>
      <c r="I119">
        <f t="shared" si="11"/>
        <v>17</v>
      </c>
      <c r="J119" t="str" cm="1">
        <f t="array" ref="J119">_xlfn.IFS(H119&lt;6,"Weekday",H119&gt;5,"Weekend")</f>
        <v>Weekend</v>
      </c>
    </row>
    <row r="120" spans="1:10" x14ac:dyDescent="0.25">
      <c r="A120" s="1">
        <v>45410</v>
      </c>
      <c r="B120" s="1" t="str" cm="1">
        <f t="array" ref="B120">_xlfn.IFS(H120=1,"Monday",H120=2,"Tuesday",H120=3,"Wednesday",H120=4,"Thursday",H120=5,"Friday",H120=6,"Saturday",H120=7,"Sunday")</f>
        <v>Sunday</v>
      </c>
      <c r="C120" s="1">
        <f t="shared" si="6"/>
        <v>45404</v>
      </c>
      <c r="D120" s="1">
        <f t="shared" si="7"/>
        <v>45383</v>
      </c>
      <c r="E120" s="1" cm="1">
        <f t="array" ref="E120">DATE(YEAR(A120),_xlfn.IFS(MONTH(A120)&lt;=3,1,MONTH(A120)&lt;=6,4,MONTH(A120)&lt;=9,7,MONTH(A120)&lt;=12,10),1)</f>
        <v>45383</v>
      </c>
      <c r="F120" s="1">
        <f t="shared" si="8"/>
        <v>45292</v>
      </c>
      <c r="G120">
        <f t="shared" si="9"/>
        <v>4</v>
      </c>
      <c r="H120">
        <f t="shared" si="10"/>
        <v>7</v>
      </c>
      <c r="I120">
        <f t="shared" si="11"/>
        <v>17</v>
      </c>
      <c r="J120" t="str" cm="1">
        <f t="array" ref="J120">_xlfn.IFS(H120&lt;6,"Weekday",H120&gt;5,"Weekend")</f>
        <v>Weekend</v>
      </c>
    </row>
    <row r="121" spans="1:10" x14ac:dyDescent="0.25">
      <c r="A121" s="1">
        <v>45411</v>
      </c>
      <c r="B121" s="1" t="str" cm="1">
        <f t="array" ref="B121">_xlfn.IFS(H121=1,"Monday",H121=2,"Tuesday",H121=3,"Wednesday",H121=4,"Thursday",H121=5,"Friday",H121=6,"Saturday",H121=7,"Sunday")</f>
        <v>Monday</v>
      </c>
      <c r="C121" s="1">
        <f t="shared" si="6"/>
        <v>45411</v>
      </c>
      <c r="D121" s="1">
        <f t="shared" si="7"/>
        <v>45383</v>
      </c>
      <c r="E121" s="1" cm="1">
        <f t="array" ref="E121">DATE(YEAR(A121),_xlfn.IFS(MONTH(A121)&lt;=3,1,MONTH(A121)&lt;=6,4,MONTH(A121)&lt;=9,7,MONTH(A121)&lt;=12,10),1)</f>
        <v>45383</v>
      </c>
      <c r="F121" s="1">
        <f t="shared" si="8"/>
        <v>45292</v>
      </c>
      <c r="G121">
        <f t="shared" si="9"/>
        <v>4</v>
      </c>
      <c r="H121">
        <f t="shared" si="10"/>
        <v>1</v>
      </c>
      <c r="I121">
        <f t="shared" si="11"/>
        <v>18</v>
      </c>
      <c r="J121" t="str" cm="1">
        <f t="array" ref="J121">_xlfn.IFS(H121&lt;6,"Weekday",H121&gt;5,"Weekend")</f>
        <v>Weekday</v>
      </c>
    </row>
    <row r="122" spans="1:10" x14ac:dyDescent="0.25">
      <c r="A122" s="1">
        <v>45412</v>
      </c>
      <c r="B122" s="1" t="str" cm="1">
        <f t="array" ref="B122">_xlfn.IFS(H122=1,"Monday",H122=2,"Tuesday",H122=3,"Wednesday",H122=4,"Thursday",H122=5,"Friday",H122=6,"Saturday",H122=7,"Sunday")</f>
        <v>Tuesday</v>
      </c>
      <c r="C122" s="1">
        <f t="shared" si="6"/>
        <v>45411</v>
      </c>
      <c r="D122" s="1">
        <f t="shared" si="7"/>
        <v>45383</v>
      </c>
      <c r="E122" s="1" cm="1">
        <f t="array" ref="E122">DATE(YEAR(A122),_xlfn.IFS(MONTH(A122)&lt;=3,1,MONTH(A122)&lt;=6,4,MONTH(A122)&lt;=9,7,MONTH(A122)&lt;=12,10),1)</f>
        <v>45383</v>
      </c>
      <c r="F122" s="1">
        <f t="shared" si="8"/>
        <v>45292</v>
      </c>
      <c r="G122">
        <f t="shared" si="9"/>
        <v>4</v>
      </c>
      <c r="H122">
        <f t="shared" si="10"/>
        <v>2</v>
      </c>
      <c r="I122">
        <f t="shared" si="11"/>
        <v>18</v>
      </c>
      <c r="J122" t="str" cm="1">
        <f t="array" ref="J122">_xlfn.IFS(H122&lt;6,"Weekday",H122&gt;5,"Weekend")</f>
        <v>Weekday</v>
      </c>
    </row>
    <row r="123" spans="1:10" x14ac:dyDescent="0.25">
      <c r="A123" s="1">
        <v>45413</v>
      </c>
      <c r="B123" s="1" t="str" cm="1">
        <f t="array" ref="B123">_xlfn.IFS(H123=1,"Monday",H123=2,"Tuesday",H123=3,"Wednesday",H123=4,"Thursday",H123=5,"Friday",H123=6,"Saturday",H123=7,"Sunday")</f>
        <v>Wednesday</v>
      </c>
      <c r="C123" s="1">
        <f t="shared" si="6"/>
        <v>45411</v>
      </c>
      <c r="D123" s="1">
        <f t="shared" si="7"/>
        <v>45413</v>
      </c>
      <c r="E123" s="1" cm="1">
        <f t="array" ref="E123">DATE(YEAR(A123),_xlfn.IFS(MONTH(A123)&lt;=3,1,MONTH(A123)&lt;=6,4,MONTH(A123)&lt;=9,7,MONTH(A123)&lt;=12,10),1)</f>
        <v>45383</v>
      </c>
      <c r="F123" s="1">
        <f t="shared" si="8"/>
        <v>45292</v>
      </c>
      <c r="G123">
        <f t="shared" si="9"/>
        <v>5</v>
      </c>
      <c r="H123">
        <f t="shared" si="10"/>
        <v>3</v>
      </c>
      <c r="I123">
        <f t="shared" si="11"/>
        <v>18</v>
      </c>
      <c r="J123" t="str" cm="1">
        <f t="array" ref="J123">_xlfn.IFS(H123&lt;6,"Weekday",H123&gt;5,"Weekend")</f>
        <v>Weekday</v>
      </c>
    </row>
    <row r="124" spans="1:10" x14ac:dyDescent="0.25">
      <c r="A124" s="1">
        <v>45414</v>
      </c>
      <c r="B124" s="1" t="str" cm="1">
        <f t="array" ref="B124">_xlfn.IFS(H124=1,"Monday",H124=2,"Tuesday",H124=3,"Wednesday",H124=4,"Thursday",H124=5,"Friday",H124=6,"Saturday",H124=7,"Sunday")</f>
        <v>Thursday</v>
      </c>
      <c r="C124" s="1">
        <f t="shared" si="6"/>
        <v>45411</v>
      </c>
      <c r="D124" s="1">
        <f t="shared" si="7"/>
        <v>45413</v>
      </c>
      <c r="E124" s="1" cm="1">
        <f t="array" ref="E124">DATE(YEAR(A124),_xlfn.IFS(MONTH(A124)&lt;=3,1,MONTH(A124)&lt;=6,4,MONTH(A124)&lt;=9,7,MONTH(A124)&lt;=12,10),1)</f>
        <v>45383</v>
      </c>
      <c r="F124" s="1">
        <f t="shared" si="8"/>
        <v>45292</v>
      </c>
      <c r="G124">
        <f t="shared" si="9"/>
        <v>5</v>
      </c>
      <c r="H124">
        <f t="shared" si="10"/>
        <v>4</v>
      </c>
      <c r="I124">
        <f t="shared" si="11"/>
        <v>18</v>
      </c>
      <c r="J124" t="str" cm="1">
        <f t="array" ref="J124">_xlfn.IFS(H124&lt;6,"Weekday",H124&gt;5,"Weekend")</f>
        <v>Weekday</v>
      </c>
    </row>
    <row r="125" spans="1:10" x14ac:dyDescent="0.25">
      <c r="A125" s="1">
        <v>45415</v>
      </c>
      <c r="B125" s="1" t="str" cm="1">
        <f t="array" ref="B125">_xlfn.IFS(H125=1,"Monday",H125=2,"Tuesday",H125=3,"Wednesday",H125=4,"Thursday",H125=5,"Friday",H125=6,"Saturday",H125=7,"Sunday")</f>
        <v>Friday</v>
      </c>
      <c r="C125" s="1">
        <f t="shared" si="6"/>
        <v>45411</v>
      </c>
      <c r="D125" s="1">
        <f t="shared" si="7"/>
        <v>45413</v>
      </c>
      <c r="E125" s="1" cm="1">
        <f t="array" ref="E125">DATE(YEAR(A125),_xlfn.IFS(MONTH(A125)&lt;=3,1,MONTH(A125)&lt;=6,4,MONTH(A125)&lt;=9,7,MONTH(A125)&lt;=12,10),1)</f>
        <v>45383</v>
      </c>
      <c r="F125" s="1">
        <f t="shared" si="8"/>
        <v>45292</v>
      </c>
      <c r="G125">
        <f t="shared" si="9"/>
        <v>5</v>
      </c>
      <c r="H125">
        <f t="shared" si="10"/>
        <v>5</v>
      </c>
      <c r="I125">
        <f t="shared" si="11"/>
        <v>18</v>
      </c>
      <c r="J125" t="str" cm="1">
        <f t="array" ref="J125">_xlfn.IFS(H125&lt;6,"Weekday",H125&gt;5,"Weekend")</f>
        <v>Weekday</v>
      </c>
    </row>
    <row r="126" spans="1:10" x14ac:dyDescent="0.25">
      <c r="A126" s="1">
        <v>45416</v>
      </c>
      <c r="B126" s="1" t="str" cm="1">
        <f t="array" ref="B126">_xlfn.IFS(H126=1,"Monday",H126=2,"Tuesday",H126=3,"Wednesday",H126=4,"Thursday",H126=5,"Friday",H126=6,"Saturday",H126=7,"Sunday")</f>
        <v>Saturday</v>
      </c>
      <c r="C126" s="1">
        <f t="shared" si="6"/>
        <v>45411</v>
      </c>
      <c r="D126" s="1">
        <f t="shared" si="7"/>
        <v>45413</v>
      </c>
      <c r="E126" s="1" cm="1">
        <f t="array" ref="E126">DATE(YEAR(A126),_xlfn.IFS(MONTH(A126)&lt;=3,1,MONTH(A126)&lt;=6,4,MONTH(A126)&lt;=9,7,MONTH(A126)&lt;=12,10),1)</f>
        <v>45383</v>
      </c>
      <c r="F126" s="1">
        <f t="shared" si="8"/>
        <v>45292</v>
      </c>
      <c r="G126">
        <f t="shared" si="9"/>
        <v>5</v>
      </c>
      <c r="H126">
        <f t="shared" si="10"/>
        <v>6</v>
      </c>
      <c r="I126">
        <f t="shared" si="11"/>
        <v>18</v>
      </c>
      <c r="J126" t="str" cm="1">
        <f t="array" ref="J126">_xlfn.IFS(H126&lt;6,"Weekday",H126&gt;5,"Weekend")</f>
        <v>Weekend</v>
      </c>
    </row>
    <row r="127" spans="1:10" x14ac:dyDescent="0.25">
      <c r="A127" s="1">
        <v>45417</v>
      </c>
      <c r="B127" s="1" t="str" cm="1">
        <f t="array" ref="B127">_xlfn.IFS(H127=1,"Monday",H127=2,"Tuesday",H127=3,"Wednesday",H127=4,"Thursday",H127=5,"Friday",H127=6,"Saturday",H127=7,"Sunday")</f>
        <v>Sunday</v>
      </c>
      <c r="C127" s="1">
        <f t="shared" si="6"/>
        <v>45411</v>
      </c>
      <c r="D127" s="1">
        <f t="shared" si="7"/>
        <v>45413</v>
      </c>
      <c r="E127" s="1" cm="1">
        <f t="array" ref="E127">DATE(YEAR(A127),_xlfn.IFS(MONTH(A127)&lt;=3,1,MONTH(A127)&lt;=6,4,MONTH(A127)&lt;=9,7,MONTH(A127)&lt;=12,10),1)</f>
        <v>45383</v>
      </c>
      <c r="F127" s="1">
        <f t="shared" si="8"/>
        <v>45292</v>
      </c>
      <c r="G127">
        <f t="shared" si="9"/>
        <v>5</v>
      </c>
      <c r="H127">
        <f t="shared" si="10"/>
        <v>7</v>
      </c>
      <c r="I127">
        <f t="shared" si="11"/>
        <v>18</v>
      </c>
      <c r="J127" t="str" cm="1">
        <f t="array" ref="J127">_xlfn.IFS(H127&lt;6,"Weekday",H127&gt;5,"Weekend")</f>
        <v>Weekend</v>
      </c>
    </row>
    <row r="128" spans="1:10" x14ac:dyDescent="0.25">
      <c r="A128" s="1">
        <v>45418</v>
      </c>
      <c r="B128" s="1" t="str" cm="1">
        <f t="array" ref="B128">_xlfn.IFS(H128=1,"Monday",H128=2,"Tuesday",H128=3,"Wednesday",H128=4,"Thursday",H128=5,"Friday",H128=6,"Saturday",H128=7,"Sunday")</f>
        <v>Monday</v>
      </c>
      <c r="C128" s="1">
        <f t="shared" si="6"/>
        <v>45418</v>
      </c>
      <c r="D128" s="1">
        <f t="shared" si="7"/>
        <v>45413</v>
      </c>
      <c r="E128" s="1" cm="1">
        <f t="array" ref="E128">DATE(YEAR(A128),_xlfn.IFS(MONTH(A128)&lt;=3,1,MONTH(A128)&lt;=6,4,MONTH(A128)&lt;=9,7,MONTH(A128)&lt;=12,10),1)</f>
        <v>45383</v>
      </c>
      <c r="F128" s="1">
        <f t="shared" si="8"/>
        <v>45292</v>
      </c>
      <c r="G128">
        <f t="shared" si="9"/>
        <v>5</v>
      </c>
      <c r="H128">
        <f t="shared" si="10"/>
        <v>1</v>
      </c>
      <c r="I128">
        <f t="shared" si="11"/>
        <v>19</v>
      </c>
      <c r="J128" t="str" cm="1">
        <f t="array" ref="J128">_xlfn.IFS(H128&lt;6,"Weekday",H128&gt;5,"Weekend")</f>
        <v>Weekday</v>
      </c>
    </row>
    <row r="129" spans="1:10" x14ac:dyDescent="0.25">
      <c r="A129" s="1">
        <v>45419</v>
      </c>
      <c r="B129" s="1" t="str" cm="1">
        <f t="array" ref="B129">_xlfn.IFS(H129=1,"Monday",H129=2,"Tuesday",H129=3,"Wednesday",H129=4,"Thursday",H129=5,"Friday",H129=6,"Saturday",H129=7,"Sunday")</f>
        <v>Tuesday</v>
      </c>
      <c r="C129" s="1">
        <f t="shared" si="6"/>
        <v>45418</v>
      </c>
      <c r="D129" s="1">
        <f t="shared" si="7"/>
        <v>45413</v>
      </c>
      <c r="E129" s="1" cm="1">
        <f t="array" ref="E129">DATE(YEAR(A129),_xlfn.IFS(MONTH(A129)&lt;=3,1,MONTH(A129)&lt;=6,4,MONTH(A129)&lt;=9,7,MONTH(A129)&lt;=12,10),1)</f>
        <v>45383</v>
      </c>
      <c r="F129" s="1">
        <f t="shared" si="8"/>
        <v>45292</v>
      </c>
      <c r="G129">
        <f t="shared" si="9"/>
        <v>5</v>
      </c>
      <c r="H129">
        <f t="shared" si="10"/>
        <v>2</v>
      </c>
      <c r="I129">
        <f t="shared" si="11"/>
        <v>19</v>
      </c>
      <c r="J129" t="str" cm="1">
        <f t="array" ref="J129">_xlfn.IFS(H129&lt;6,"Weekday",H129&gt;5,"Weekend")</f>
        <v>Weekday</v>
      </c>
    </row>
    <row r="130" spans="1:10" x14ac:dyDescent="0.25">
      <c r="A130" s="1">
        <v>45420</v>
      </c>
      <c r="B130" s="1" t="str" cm="1">
        <f t="array" ref="B130">_xlfn.IFS(H130=1,"Monday",H130=2,"Tuesday",H130=3,"Wednesday",H130=4,"Thursday",H130=5,"Friday",H130=6,"Saturday",H130=7,"Sunday")</f>
        <v>Wednesday</v>
      </c>
      <c r="C130" s="1">
        <f t="shared" ref="C130:C193" si="12">A130-WEEKDAY(A130,2)+1</f>
        <v>45418</v>
      </c>
      <c r="D130" s="1">
        <f t="shared" ref="D130:D193" si="13">DATE(YEAR(A130),MONTH(A130),1)</f>
        <v>45413</v>
      </c>
      <c r="E130" s="1" cm="1">
        <f t="array" ref="E130">DATE(YEAR(A130),_xlfn.IFS(MONTH(A130)&lt;=3,1,MONTH(A130)&lt;=6,4,MONTH(A130)&lt;=9,7,MONTH(A130)&lt;=12,10),1)</f>
        <v>45383</v>
      </c>
      <c r="F130" s="1">
        <f t="shared" ref="F130:F193" si="14">DATE(YEAR(A130),1,1)</f>
        <v>45292</v>
      </c>
      <c r="G130">
        <f t="shared" ref="G130:G193" si="15">MONTH(A130)</f>
        <v>5</v>
      </c>
      <c r="H130">
        <f t="shared" ref="H130:H193" si="16">WEEKDAY(A130,2)</f>
        <v>3</v>
      </c>
      <c r="I130">
        <f t="shared" ref="I130:I193" si="17">_xlfn.ISOWEEKNUM(A130)</f>
        <v>19</v>
      </c>
      <c r="J130" t="str" cm="1">
        <f t="array" ref="J130">_xlfn.IFS(H130&lt;6,"Weekday",H130&gt;5,"Weekend")</f>
        <v>Weekday</v>
      </c>
    </row>
    <row r="131" spans="1:10" x14ac:dyDescent="0.25">
      <c r="A131" s="1">
        <v>45421</v>
      </c>
      <c r="B131" s="1" t="str" cm="1">
        <f t="array" ref="B131">_xlfn.IFS(H131=1,"Monday",H131=2,"Tuesday",H131=3,"Wednesday",H131=4,"Thursday",H131=5,"Friday",H131=6,"Saturday",H131=7,"Sunday")</f>
        <v>Thursday</v>
      </c>
      <c r="C131" s="1">
        <f t="shared" si="12"/>
        <v>45418</v>
      </c>
      <c r="D131" s="1">
        <f t="shared" si="13"/>
        <v>45413</v>
      </c>
      <c r="E131" s="1" cm="1">
        <f t="array" ref="E131">DATE(YEAR(A131),_xlfn.IFS(MONTH(A131)&lt;=3,1,MONTH(A131)&lt;=6,4,MONTH(A131)&lt;=9,7,MONTH(A131)&lt;=12,10),1)</f>
        <v>45383</v>
      </c>
      <c r="F131" s="1">
        <f t="shared" si="14"/>
        <v>45292</v>
      </c>
      <c r="G131">
        <f t="shared" si="15"/>
        <v>5</v>
      </c>
      <c r="H131">
        <f t="shared" si="16"/>
        <v>4</v>
      </c>
      <c r="I131">
        <f t="shared" si="17"/>
        <v>19</v>
      </c>
      <c r="J131" t="str" cm="1">
        <f t="array" ref="J131">_xlfn.IFS(H131&lt;6,"Weekday",H131&gt;5,"Weekend")</f>
        <v>Weekday</v>
      </c>
    </row>
    <row r="132" spans="1:10" x14ac:dyDescent="0.25">
      <c r="A132" s="1">
        <v>45422</v>
      </c>
      <c r="B132" s="1" t="str" cm="1">
        <f t="array" ref="B132">_xlfn.IFS(H132=1,"Monday",H132=2,"Tuesday",H132=3,"Wednesday",H132=4,"Thursday",H132=5,"Friday",H132=6,"Saturday",H132=7,"Sunday")</f>
        <v>Friday</v>
      </c>
      <c r="C132" s="1">
        <f t="shared" si="12"/>
        <v>45418</v>
      </c>
      <c r="D132" s="1">
        <f t="shared" si="13"/>
        <v>45413</v>
      </c>
      <c r="E132" s="1" cm="1">
        <f t="array" ref="E132">DATE(YEAR(A132),_xlfn.IFS(MONTH(A132)&lt;=3,1,MONTH(A132)&lt;=6,4,MONTH(A132)&lt;=9,7,MONTH(A132)&lt;=12,10),1)</f>
        <v>45383</v>
      </c>
      <c r="F132" s="1">
        <f t="shared" si="14"/>
        <v>45292</v>
      </c>
      <c r="G132">
        <f t="shared" si="15"/>
        <v>5</v>
      </c>
      <c r="H132">
        <f t="shared" si="16"/>
        <v>5</v>
      </c>
      <c r="I132">
        <f t="shared" si="17"/>
        <v>19</v>
      </c>
      <c r="J132" t="str" cm="1">
        <f t="array" ref="J132">_xlfn.IFS(H132&lt;6,"Weekday",H132&gt;5,"Weekend")</f>
        <v>Weekday</v>
      </c>
    </row>
    <row r="133" spans="1:10" x14ac:dyDescent="0.25">
      <c r="A133" s="1">
        <v>45423</v>
      </c>
      <c r="B133" s="1" t="str" cm="1">
        <f t="array" ref="B133">_xlfn.IFS(H133=1,"Monday",H133=2,"Tuesday",H133=3,"Wednesday",H133=4,"Thursday",H133=5,"Friday",H133=6,"Saturday",H133=7,"Sunday")</f>
        <v>Saturday</v>
      </c>
      <c r="C133" s="1">
        <f t="shared" si="12"/>
        <v>45418</v>
      </c>
      <c r="D133" s="1">
        <f t="shared" si="13"/>
        <v>45413</v>
      </c>
      <c r="E133" s="1" cm="1">
        <f t="array" ref="E133">DATE(YEAR(A133),_xlfn.IFS(MONTH(A133)&lt;=3,1,MONTH(A133)&lt;=6,4,MONTH(A133)&lt;=9,7,MONTH(A133)&lt;=12,10),1)</f>
        <v>45383</v>
      </c>
      <c r="F133" s="1">
        <f t="shared" si="14"/>
        <v>45292</v>
      </c>
      <c r="G133">
        <f t="shared" si="15"/>
        <v>5</v>
      </c>
      <c r="H133">
        <f t="shared" si="16"/>
        <v>6</v>
      </c>
      <c r="I133">
        <f t="shared" si="17"/>
        <v>19</v>
      </c>
      <c r="J133" t="str" cm="1">
        <f t="array" ref="J133">_xlfn.IFS(H133&lt;6,"Weekday",H133&gt;5,"Weekend")</f>
        <v>Weekend</v>
      </c>
    </row>
    <row r="134" spans="1:10" x14ac:dyDescent="0.25">
      <c r="A134" s="1">
        <v>45424</v>
      </c>
      <c r="B134" s="1" t="str" cm="1">
        <f t="array" ref="B134">_xlfn.IFS(H134=1,"Monday",H134=2,"Tuesday",H134=3,"Wednesday",H134=4,"Thursday",H134=5,"Friday",H134=6,"Saturday",H134=7,"Sunday")</f>
        <v>Sunday</v>
      </c>
      <c r="C134" s="1">
        <f t="shared" si="12"/>
        <v>45418</v>
      </c>
      <c r="D134" s="1">
        <f t="shared" si="13"/>
        <v>45413</v>
      </c>
      <c r="E134" s="1" cm="1">
        <f t="array" ref="E134">DATE(YEAR(A134),_xlfn.IFS(MONTH(A134)&lt;=3,1,MONTH(A134)&lt;=6,4,MONTH(A134)&lt;=9,7,MONTH(A134)&lt;=12,10),1)</f>
        <v>45383</v>
      </c>
      <c r="F134" s="1">
        <f t="shared" si="14"/>
        <v>45292</v>
      </c>
      <c r="G134">
        <f t="shared" si="15"/>
        <v>5</v>
      </c>
      <c r="H134">
        <f t="shared" si="16"/>
        <v>7</v>
      </c>
      <c r="I134">
        <f t="shared" si="17"/>
        <v>19</v>
      </c>
      <c r="J134" t="str" cm="1">
        <f t="array" ref="J134">_xlfn.IFS(H134&lt;6,"Weekday",H134&gt;5,"Weekend")</f>
        <v>Weekend</v>
      </c>
    </row>
    <row r="135" spans="1:10" x14ac:dyDescent="0.25">
      <c r="A135" s="1">
        <v>45425</v>
      </c>
      <c r="B135" s="1" t="str" cm="1">
        <f t="array" ref="B135">_xlfn.IFS(H135=1,"Monday",H135=2,"Tuesday",H135=3,"Wednesday",H135=4,"Thursday",H135=5,"Friday",H135=6,"Saturday",H135=7,"Sunday")</f>
        <v>Monday</v>
      </c>
      <c r="C135" s="1">
        <f t="shared" si="12"/>
        <v>45425</v>
      </c>
      <c r="D135" s="1">
        <f t="shared" si="13"/>
        <v>45413</v>
      </c>
      <c r="E135" s="1" cm="1">
        <f t="array" ref="E135">DATE(YEAR(A135),_xlfn.IFS(MONTH(A135)&lt;=3,1,MONTH(A135)&lt;=6,4,MONTH(A135)&lt;=9,7,MONTH(A135)&lt;=12,10),1)</f>
        <v>45383</v>
      </c>
      <c r="F135" s="1">
        <f t="shared" si="14"/>
        <v>45292</v>
      </c>
      <c r="G135">
        <f t="shared" si="15"/>
        <v>5</v>
      </c>
      <c r="H135">
        <f t="shared" si="16"/>
        <v>1</v>
      </c>
      <c r="I135">
        <f t="shared" si="17"/>
        <v>20</v>
      </c>
      <c r="J135" t="str" cm="1">
        <f t="array" ref="J135">_xlfn.IFS(H135&lt;6,"Weekday",H135&gt;5,"Weekend")</f>
        <v>Weekday</v>
      </c>
    </row>
    <row r="136" spans="1:10" x14ac:dyDescent="0.25">
      <c r="A136" s="1">
        <v>45426</v>
      </c>
      <c r="B136" s="1" t="str" cm="1">
        <f t="array" ref="B136">_xlfn.IFS(H136=1,"Monday",H136=2,"Tuesday",H136=3,"Wednesday",H136=4,"Thursday",H136=5,"Friday",H136=6,"Saturday",H136=7,"Sunday")</f>
        <v>Tuesday</v>
      </c>
      <c r="C136" s="1">
        <f t="shared" si="12"/>
        <v>45425</v>
      </c>
      <c r="D136" s="1">
        <f t="shared" si="13"/>
        <v>45413</v>
      </c>
      <c r="E136" s="1" cm="1">
        <f t="array" ref="E136">DATE(YEAR(A136),_xlfn.IFS(MONTH(A136)&lt;=3,1,MONTH(A136)&lt;=6,4,MONTH(A136)&lt;=9,7,MONTH(A136)&lt;=12,10),1)</f>
        <v>45383</v>
      </c>
      <c r="F136" s="1">
        <f t="shared" si="14"/>
        <v>45292</v>
      </c>
      <c r="G136">
        <f t="shared" si="15"/>
        <v>5</v>
      </c>
      <c r="H136">
        <f t="shared" si="16"/>
        <v>2</v>
      </c>
      <c r="I136">
        <f t="shared" si="17"/>
        <v>20</v>
      </c>
      <c r="J136" t="str" cm="1">
        <f t="array" ref="J136">_xlfn.IFS(H136&lt;6,"Weekday",H136&gt;5,"Weekend")</f>
        <v>Weekday</v>
      </c>
    </row>
    <row r="137" spans="1:10" x14ac:dyDescent="0.25">
      <c r="A137" s="1">
        <v>45427</v>
      </c>
      <c r="B137" s="1" t="str" cm="1">
        <f t="array" ref="B137">_xlfn.IFS(H137=1,"Monday",H137=2,"Tuesday",H137=3,"Wednesday",H137=4,"Thursday",H137=5,"Friday",H137=6,"Saturday",H137=7,"Sunday")</f>
        <v>Wednesday</v>
      </c>
      <c r="C137" s="1">
        <f t="shared" si="12"/>
        <v>45425</v>
      </c>
      <c r="D137" s="1">
        <f t="shared" si="13"/>
        <v>45413</v>
      </c>
      <c r="E137" s="1" cm="1">
        <f t="array" ref="E137">DATE(YEAR(A137),_xlfn.IFS(MONTH(A137)&lt;=3,1,MONTH(A137)&lt;=6,4,MONTH(A137)&lt;=9,7,MONTH(A137)&lt;=12,10),1)</f>
        <v>45383</v>
      </c>
      <c r="F137" s="1">
        <f t="shared" si="14"/>
        <v>45292</v>
      </c>
      <c r="G137">
        <f t="shared" si="15"/>
        <v>5</v>
      </c>
      <c r="H137">
        <f t="shared" si="16"/>
        <v>3</v>
      </c>
      <c r="I137">
        <f t="shared" si="17"/>
        <v>20</v>
      </c>
      <c r="J137" t="str" cm="1">
        <f t="array" ref="J137">_xlfn.IFS(H137&lt;6,"Weekday",H137&gt;5,"Weekend")</f>
        <v>Weekday</v>
      </c>
    </row>
    <row r="138" spans="1:10" x14ac:dyDescent="0.25">
      <c r="A138" s="1">
        <v>45428</v>
      </c>
      <c r="B138" s="1" t="str" cm="1">
        <f t="array" ref="B138">_xlfn.IFS(H138=1,"Monday",H138=2,"Tuesday",H138=3,"Wednesday",H138=4,"Thursday",H138=5,"Friday",H138=6,"Saturday",H138=7,"Sunday")</f>
        <v>Thursday</v>
      </c>
      <c r="C138" s="1">
        <f t="shared" si="12"/>
        <v>45425</v>
      </c>
      <c r="D138" s="1">
        <f t="shared" si="13"/>
        <v>45413</v>
      </c>
      <c r="E138" s="1" cm="1">
        <f t="array" ref="E138">DATE(YEAR(A138),_xlfn.IFS(MONTH(A138)&lt;=3,1,MONTH(A138)&lt;=6,4,MONTH(A138)&lt;=9,7,MONTH(A138)&lt;=12,10),1)</f>
        <v>45383</v>
      </c>
      <c r="F138" s="1">
        <f t="shared" si="14"/>
        <v>45292</v>
      </c>
      <c r="G138">
        <f t="shared" si="15"/>
        <v>5</v>
      </c>
      <c r="H138">
        <f t="shared" si="16"/>
        <v>4</v>
      </c>
      <c r="I138">
        <f t="shared" si="17"/>
        <v>20</v>
      </c>
      <c r="J138" t="str" cm="1">
        <f t="array" ref="J138">_xlfn.IFS(H138&lt;6,"Weekday",H138&gt;5,"Weekend")</f>
        <v>Weekday</v>
      </c>
    </row>
    <row r="139" spans="1:10" x14ac:dyDescent="0.25">
      <c r="A139" s="1">
        <v>45429</v>
      </c>
      <c r="B139" s="1" t="str" cm="1">
        <f t="array" ref="B139">_xlfn.IFS(H139=1,"Monday",H139=2,"Tuesday",H139=3,"Wednesday",H139=4,"Thursday",H139=5,"Friday",H139=6,"Saturday",H139=7,"Sunday")</f>
        <v>Friday</v>
      </c>
      <c r="C139" s="1">
        <f t="shared" si="12"/>
        <v>45425</v>
      </c>
      <c r="D139" s="1">
        <f t="shared" si="13"/>
        <v>45413</v>
      </c>
      <c r="E139" s="1" cm="1">
        <f t="array" ref="E139">DATE(YEAR(A139),_xlfn.IFS(MONTH(A139)&lt;=3,1,MONTH(A139)&lt;=6,4,MONTH(A139)&lt;=9,7,MONTH(A139)&lt;=12,10),1)</f>
        <v>45383</v>
      </c>
      <c r="F139" s="1">
        <f t="shared" si="14"/>
        <v>45292</v>
      </c>
      <c r="G139">
        <f t="shared" si="15"/>
        <v>5</v>
      </c>
      <c r="H139">
        <f t="shared" si="16"/>
        <v>5</v>
      </c>
      <c r="I139">
        <f t="shared" si="17"/>
        <v>20</v>
      </c>
      <c r="J139" t="str" cm="1">
        <f t="array" ref="J139">_xlfn.IFS(H139&lt;6,"Weekday",H139&gt;5,"Weekend")</f>
        <v>Weekday</v>
      </c>
    </row>
    <row r="140" spans="1:10" x14ac:dyDescent="0.25">
      <c r="A140" s="1">
        <v>45430</v>
      </c>
      <c r="B140" s="1" t="str" cm="1">
        <f t="array" ref="B140">_xlfn.IFS(H140=1,"Monday",H140=2,"Tuesday",H140=3,"Wednesday",H140=4,"Thursday",H140=5,"Friday",H140=6,"Saturday",H140=7,"Sunday")</f>
        <v>Saturday</v>
      </c>
      <c r="C140" s="1">
        <f t="shared" si="12"/>
        <v>45425</v>
      </c>
      <c r="D140" s="1">
        <f t="shared" si="13"/>
        <v>45413</v>
      </c>
      <c r="E140" s="1" cm="1">
        <f t="array" ref="E140">DATE(YEAR(A140),_xlfn.IFS(MONTH(A140)&lt;=3,1,MONTH(A140)&lt;=6,4,MONTH(A140)&lt;=9,7,MONTH(A140)&lt;=12,10),1)</f>
        <v>45383</v>
      </c>
      <c r="F140" s="1">
        <f t="shared" si="14"/>
        <v>45292</v>
      </c>
      <c r="G140">
        <f t="shared" si="15"/>
        <v>5</v>
      </c>
      <c r="H140">
        <f t="shared" si="16"/>
        <v>6</v>
      </c>
      <c r="I140">
        <f t="shared" si="17"/>
        <v>20</v>
      </c>
      <c r="J140" t="str" cm="1">
        <f t="array" ref="J140">_xlfn.IFS(H140&lt;6,"Weekday",H140&gt;5,"Weekend")</f>
        <v>Weekend</v>
      </c>
    </row>
    <row r="141" spans="1:10" x14ac:dyDescent="0.25">
      <c r="A141" s="1">
        <v>45431</v>
      </c>
      <c r="B141" s="1" t="str" cm="1">
        <f t="array" ref="B141">_xlfn.IFS(H141=1,"Monday",H141=2,"Tuesday",H141=3,"Wednesday",H141=4,"Thursday",H141=5,"Friday",H141=6,"Saturday",H141=7,"Sunday")</f>
        <v>Sunday</v>
      </c>
      <c r="C141" s="1">
        <f t="shared" si="12"/>
        <v>45425</v>
      </c>
      <c r="D141" s="1">
        <f t="shared" si="13"/>
        <v>45413</v>
      </c>
      <c r="E141" s="1" cm="1">
        <f t="array" ref="E141">DATE(YEAR(A141),_xlfn.IFS(MONTH(A141)&lt;=3,1,MONTH(A141)&lt;=6,4,MONTH(A141)&lt;=9,7,MONTH(A141)&lt;=12,10),1)</f>
        <v>45383</v>
      </c>
      <c r="F141" s="1">
        <f t="shared" si="14"/>
        <v>45292</v>
      </c>
      <c r="G141">
        <f t="shared" si="15"/>
        <v>5</v>
      </c>
      <c r="H141">
        <f t="shared" si="16"/>
        <v>7</v>
      </c>
      <c r="I141">
        <f t="shared" si="17"/>
        <v>20</v>
      </c>
      <c r="J141" t="str" cm="1">
        <f t="array" ref="J141">_xlfn.IFS(H141&lt;6,"Weekday",H141&gt;5,"Weekend")</f>
        <v>Weekend</v>
      </c>
    </row>
    <row r="142" spans="1:10" x14ac:dyDescent="0.25">
      <c r="A142" s="1">
        <v>45432</v>
      </c>
      <c r="B142" s="1" t="str" cm="1">
        <f t="array" ref="B142">_xlfn.IFS(H142=1,"Monday",H142=2,"Tuesday",H142=3,"Wednesday",H142=4,"Thursday",H142=5,"Friday",H142=6,"Saturday",H142=7,"Sunday")</f>
        <v>Monday</v>
      </c>
      <c r="C142" s="1">
        <f t="shared" si="12"/>
        <v>45432</v>
      </c>
      <c r="D142" s="1">
        <f t="shared" si="13"/>
        <v>45413</v>
      </c>
      <c r="E142" s="1" cm="1">
        <f t="array" ref="E142">DATE(YEAR(A142),_xlfn.IFS(MONTH(A142)&lt;=3,1,MONTH(A142)&lt;=6,4,MONTH(A142)&lt;=9,7,MONTH(A142)&lt;=12,10),1)</f>
        <v>45383</v>
      </c>
      <c r="F142" s="1">
        <f t="shared" si="14"/>
        <v>45292</v>
      </c>
      <c r="G142">
        <f t="shared" si="15"/>
        <v>5</v>
      </c>
      <c r="H142">
        <f t="shared" si="16"/>
        <v>1</v>
      </c>
      <c r="I142">
        <f t="shared" si="17"/>
        <v>21</v>
      </c>
      <c r="J142" t="str" cm="1">
        <f t="array" ref="J142">_xlfn.IFS(H142&lt;6,"Weekday",H142&gt;5,"Weekend")</f>
        <v>Weekday</v>
      </c>
    </row>
    <row r="143" spans="1:10" x14ac:dyDescent="0.25">
      <c r="A143" s="1">
        <v>45433</v>
      </c>
      <c r="B143" s="1" t="str" cm="1">
        <f t="array" ref="B143">_xlfn.IFS(H143=1,"Monday",H143=2,"Tuesday",H143=3,"Wednesday",H143=4,"Thursday",H143=5,"Friday",H143=6,"Saturday",H143=7,"Sunday")</f>
        <v>Tuesday</v>
      </c>
      <c r="C143" s="1">
        <f t="shared" si="12"/>
        <v>45432</v>
      </c>
      <c r="D143" s="1">
        <f t="shared" si="13"/>
        <v>45413</v>
      </c>
      <c r="E143" s="1" cm="1">
        <f t="array" ref="E143">DATE(YEAR(A143),_xlfn.IFS(MONTH(A143)&lt;=3,1,MONTH(A143)&lt;=6,4,MONTH(A143)&lt;=9,7,MONTH(A143)&lt;=12,10),1)</f>
        <v>45383</v>
      </c>
      <c r="F143" s="1">
        <f t="shared" si="14"/>
        <v>45292</v>
      </c>
      <c r="G143">
        <f t="shared" si="15"/>
        <v>5</v>
      </c>
      <c r="H143">
        <f t="shared" si="16"/>
        <v>2</v>
      </c>
      <c r="I143">
        <f t="shared" si="17"/>
        <v>21</v>
      </c>
      <c r="J143" t="str" cm="1">
        <f t="array" ref="J143">_xlfn.IFS(H143&lt;6,"Weekday",H143&gt;5,"Weekend")</f>
        <v>Weekday</v>
      </c>
    </row>
    <row r="144" spans="1:10" x14ac:dyDescent="0.25">
      <c r="A144" s="1">
        <v>45434</v>
      </c>
      <c r="B144" s="1" t="str" cm="1">
        <f t="array" ref="B144">_xlfn.IFS(H144=1,"Monday",H144=2,"Tuesday",H144=3,"Wednesday",H144=4,"Thursday",H144=5,"Friday",H144=6,"Saturday",H144=7,"Sunday")</f>
        <v>Wednesday</v>
      </c>
      <c r="C144" s="1">
        <f t="shared" si="12"/>
        <v>45432</v>
      </c>
      <c r="D144" s="1">
        <f t="shared" si="13"/>
        <v>45413</v>
      </c>
      <c r="E144" s="1" cm="1">
        <f t="array" ref="E144">DATE(YEAR(A144),_xlfn.IFS(MONTH(A144)&lt;=3,1,MONTH(A144)&lt;=6,4,MONTH(A144)&lt;=9,7,MONTH(A144)&lt;=12,10),1)</f>
        <v>45383</v>
      </c>
      <c r="F144" s="1">
        <f t="shared" si="14"/>
        <v>45292</v>
      </c>
      <c r="G144">
        <f t="shared" si="15"/>
        <v>5</v>
      </c>
      <c r="H144">
        <f t="shared" si="16"/>
        <v>3</v>
      </c>
      <c r="I144">
        <f t="shared" si="17"/>
        <v>21</v>
      </c>
      <c r="J144" t="str" cm="1">
        <f t="array" ref="J144">_xlfn.IFS(H144&lt;6,"Weekday",H144&gt;5,"Weekend")</f>
        <v>Weekday</v>
      </c>
    </row>
    <row r="145" spans="1:10" x14ac:dyDescent="0.25">
      <c r="A145" s="1">
        <v>45435</v>
      </c>
      <c r="B145" s="1" t="str" cm="1">
        <f t="array" ref="B145">_xlfn.IFS(H145=1,"Monday",H145=2,"Tuesday",H145=3,"Wednesday",H145=4,"Thursday",H145=5,"Friday",H145=6,"Saturday",H145=7,"Sunday")</f>
        <v>Thursday</v>
      </c>
      <c r="C145" s="1">
        <f t="shared" si="12"/>
        <v>45432</v>
      </c>
      <c r="D145" s="1">
        <f t="shared" si="13"/>
        <v>45413</v>
      </c>
      <c r="E145" s="1" cm="1">
        <f t="array" ref="E145">DATE(YEAR(A145),_xlfn.IFS(MONTH(A145)&lt;=3,1,MONTH(A145)&lt;=6,4,MONTH(A145)&lt;=9,7,MONTH(A145)&lt;=12,10),1)</f>
        <v>45383</v>
      </c>
      <c r="F145" s="1">
        <f t="shared" si="14"/>
        <v>45292</v>
      </c>
      <c r="G145">
        <f t="shared" si="15"/>
        <v>5</v>
      </c>
      <c r="H145">
        <f t="shared" si="16"/>
        <v>4</v>
      </c>
      <c r="I145">
        <f t="shared" si="17"/>
        <v>21</v>
      </c>
      <c r="J145" t="str" cm="1">
        <f t="array" ref="J145">_xlfn.IFS(H145&lt;6,"Weekday",H145&gt;5,"Weekend")</f>
        <v>Weekday</v>
      </c>
    </row>
    <row r="146" spans="1:10" x14ac:dyDescent="0.25">
      <c r="A146" s="1">
        <v>45436</v>
      </c>
      <c r="B146" s="1" t="str" cm="1">
        <f t="array" ref="B146">_xlfn.IFS(H146=1,"Monday",H146=2,"Tuesday",H146=3,"Wednesday",H146=4,"Thursday",H146=5,"Friday",H146=6,"Saturday",H146=7,"Sunday")</f>
        <v>Friday</v>
      </c>
      <c r="C146" s="1">
        <f t="shared" si="12"/>
        <v>45432</v>
      </c>
      <c r="D146" s="1">
        <f t="shared" si="13"/>
        <v>45413</v>
      </c>
      <c r="E146" s="1" cm="1">
        <f t="array" ref="E146">DATE(YEAR(A146),_xlfn.IFS(MONTH(A146)&lt;=3,1,MONTH(A146)&lt;=6,4,MONTH(A146)&lt;=9,7,MONTH(A146)&lt;=12,10),1)</f>
        <v>45383</v>
      </c>
      <c r="F146" s="1">
        <f t="shared" si="14"/>
        <v>45292</v>
      </c>
      <c r="G146">
        <f t="shared" si="15"/>
        <v>5</v>
      </c>
      <c r="H146">
        <f t="shared" si="16"/>
        <v>5</v>
      </c>
      <c r="I146">
        <f t="shared" si="17"/>
        <v>21</v>
      </c>
      <c r="J146" t="str" cm="1">
        <f t="array" ref="J146">_xlfn.IFS(H146&lt;6,"Weekday",H146&gt;5,"Weekend")</f>
        <v>Weekday</v>
      </c>
    </row>
    <row r="147" spans="1:10" x14ac:dyDescent="0.25">
      <c r="A147" s="1">
        <v>45437</v>
      </c>
      <c r="B147" s="1" t="str" cm="1">
        <f t="array" ref="B147">_xlfn.IFS(H147=1,"Monday",H147=2,"Tuesday",H147=3,"Wednesday",H147=4,"Thursday",H147=5,"Friday",H147=6,"Saturday",H147=7,"Sunday")</f>
        <v>Saturday</v>
      </c>
      <c r="C147" s="1">
        <f t="shared" si="12"/>
        <v>45432</v>
      </c>
      <c r="D147" s="1">
        <f t="shared" si="13"/>
        <v>45413</v>
      </c>
      <c r="E147" s="1" cm="1">
        <f t="array" ref="E147">DATE(YEAR(A147),_xlfn.IFS(MONTH(A147)&lt;=3,1,MONTH(A147)&lt;=6,4,MONTH(A147)&lt;=9,7,MONTH(A147)&lt;=12,10),1)</f>
        <v>45383</v>
      </c>
      <c r="F147" s="1">
        <f t="shared" si="14"/>
        <v>45292</v>
      </c>
      <c r="G147">
        <f t="shared" si="15"/>
        <v>5</v>
      </c>
      <c r="H147">
        <f t="shared" si="16"/>
        <v>6</v>
      </c>
      <c r="I147">
        <f t="shared" si="17"/>
        <v>21</v>
      </c>
      <c r="J147" t="str" cm="1">
        <f t="array" ref="J147">_xlfn.IFS(H147&lt;6,"Weekday",H147&gt;5,"Weekend")</f>
        <v>Weekend</v>
      </c>
    </row>
    <row r="148" spans="1:10" x14ac:dyDescent="0.25">
      <c r="A148" s="1">
        <v>45438</v>
      </c>
      <c r="B148" s="1" t="str" cm="1">
        <f t="array" ref="B148">_xlfn.IFS(H148=1,"Monday",H148=2,"Tuesday",H148=3,"Wednesday",H148=4,"Thursday",H148=5,"Friday",H148=6,"Saturday",H148=7,"Sunday")</f>
        <v>Sunday</v>
      </c>
      <c r="C148" s="1">
        <f t="shared" si="12"/>
        <v>45432</v>
      </c>
      <c r="D148" s="1">
        <f t="shared" si="13"/>
        <v>45413</v>
      </c>
      <c r="E148" s="1" cm="1">
        <f t="array" ref="E148">DATE(YEAR(A148),_xlfn.IFS(MONTH(A148)&lt;=3,1,MONTH(A148)&lt;=6,4,MONTH(A148)&lt;=9,7,MONTH(A148)&lt;=12,10),1)</f>
        <v>45383</v>
      </c>
      <c r="F148" s="1">
        <f t="shared" si="14"/>
        <v>45292</v>
      </c>
      <c r="G148">
        <f t="shared" si="15"/>
        <v>5</v>
      </c>
      <c r="H148">
        <f t="shared" si="16"/>
        <v>7</v>
      </c>
      <c r="I148">
        <f t="shared" si="17"/>
        <v>21</v>
      </c>
      <c r="J148" t="str" cm="1">
        <f t="array" ref="J148">_xlfn.IFS(H148&lt;6,"Weekday",H148&gt;5,"Weekend")</f>
        <v>Weekend</v>
      </c>
    </row>
    <row r="149" spans="1:10" x14ac:dyDescent="0.25">
      <c r="A149" s="1">
        <v>45439</v>
      </c>
      <c r="B149" s="1" t="str" cm="1">
        <f t="array" ref="B149">_xlfn.IFS(H149=1,"Monday",H149=2,"Tuesday",H149=3,"Wednesday",H149=4,"Thursday",H149=5,"Friday",H149=6,"Saturday",H149=7,"Sunday")</f>
        <v>Monday</v>
      </c>
      <c r="C149" s="1">
        <f t="shared" si="12"/>
        <v>45439</v>
      </c>
      <c r="D149" s="1">
        <f t="shared" si="13"/>
        <v>45413</v>
      </c>
      <c r="E149" s="1" cm="1">
        <f t="array" ref="E149">DATE(YEAR(A149),_xlfn.IFS(MONTH(A149)&lt;=3,1,MONTH(A149)&lt;=6,4,MONTH(A149)&lt;=9,7,MONTH(A149)&lt;=12,10),1)</f>
        <v>45383</v>
      </c>
      <c r="F149" s="1">
        <f t="shared" si="14"/>
        <v>45292</v>
      </c>
      <c r="G149">
        <f t="shared" si="15"/>
        <v>5</v>
      </c>
      <c r="H149">
        <f t="shared" si="16"/>
        <v>1</v>
      </c>
      <c r="I149">
        <f t="shared" si="17"/>
        <v>22</v>
      </c>
      <c r="J149" t="str" cm="1">
        <f t="array" ref="J149">_xlfn.IFS(H149&lt;6,"Weekday",H149&gt;5,"Weekend")</f>
        <v>Weekday</v>
      </c>
    </row>
    <row r="150" spans="1:10" x14ac:dyDescent="0.25">
      <c r="A150" s="1">
        <v>45440</v>
      </c>
      <c r="B150" s="1" t="str" cm="1">
        <f t="array" ref="B150">_xlfn.IFS(H150=1,"Monday",H150=2,"Tuesday",H150=3,"Wednesday",H150=4,"Thursday",H150=5,"Friday",H150=6,"Saturday",H150=7,"Sunday")</f>
        <v>Tuesday</v>
      </c>
      <c r="C150" s="1">
        <f t="shared" si="12"/>
        <v>45439</v>
      </c>
      <c r="D150" s="1">
        <f t="shared" si="13"/>
        <v>45413</v>
      </c>
      <c r="E150" s="1" cm="1">
        <f t="array" ref="E150">DATE(YEAR(A150),_xlfn.IFS(MONTH(A150)&lt;=3,1,MONTH(A150)&lt;=6,4,MONTH(A150)&lt;=9,7,MONTH(A150)&lt;=12,10),1)</f>
        <v>45383</v>
      </c>
      <c r="F150" s="1">
        <f t="shared" si="14"/>
        <v>45292</v>
      </c>
      <c r="G150">
        <f t="shared" si="15"/>
        <v>5</v>
      </c>
      <c r="H150">
        <f t="shared" si="16"/>
        <v>2</v>
      </c>
      <c r="I150">
        <f t="shared" si="17"/>
        <v>22</v>
      </c>
      <c r="J150" t="str" cm="1">
        <f t="array" ref="J150">_xlfn.IFS(H150&lt;6,"Weekday",H150&gt;5,"Weekend")</f>
        <v>Weekday</v>
      </c>
    </row>
    <row r="151" spans="1:10" x14ac:dyDescent="0.25">
      <c r="A151" s="1">
        <v>45441</v>
      </c>
      <c r="B151" s="1" t="str" cm="1">
        <f t="array" ref="B151">_xlfn.IFS(H151=1,"Monday",H151=2,"Tuesday",H151=3,"Wednesday",H151=4,"Thursday",H151=5,"Friday",H151=6,"Saturday",H151=7,"Sunday")</f>
        <v>Wednesday</v>
      </c>
      <c r="C151" s="1">
        <f t="shared" si="12"/>
        <v>45439</v>
      </c>
      <c r="D151" s="1">
        <f t="shared" si="13"/>
        <v>45413</v>
      </c>
      <c r="E151" s="1" cm="1">
        <f t="array" ref="E151">DATE(YEAR(A151),_xlfn.IFS(MONTH(A151)&lt;=3,1,MONTH(A151)&lt;=6,4,MONTH(A151)&lt;=9,7,MONTH(A151)&lt;=12,10),1)</f>
        <v>45383</v>
      </c>
      <c r="F151" s="1">
        <f t="shared" si="14"/>
        <v>45292</v>
      </c>
      <c r="G151">
        <f t="shared" si="15"/>
        <v>5</v>
      </c>
      <c r="H151">
        <f t="shared" si="16"/>
        <v>3</v>
      </c>
      <c r="I151">
        <f t="shared" si="17"/>
        <v>22</v>
      </c>
      <c r="J151" t="str" cm="1">
        <f t="array" ref="J151">_xlfn.IFS(H151&lt;6,"Weekday",H151&gt;5,"Weekend")</f>
        <v>Weekday</v>
      </c>
    </row>
    <row r="152" spans="1:10" x14ac:dyDescent="0.25">
      <c r="A152" s="1">
        <v>45442</v>
      </c>
      <c r="B152" s="1" t="str" cm="1">
        <f t="array" ref="B152">_xlfn.IFS(H152=1,"Monday",H152=2,"Tuesday",H152=3,"Wednesday",H152=4,"Thursday",H152=5,"Friday",H152=6,"Saturday",H152=7,"Sunday")</f>
        <v>Thursday</v>
      </c>
      <c r="C152" s="1">
        <f t="shared" si="12"/>
        <v>45439</v>
      </c>
      <c r="D152" s="1">
        <f t="shared" si="13"/>
        <v>45413</v>
      </c>
      <c r="E152" s="1" cm="1">
        <f t="array" ref="E152">DATE(YEAR(A152),_xlfn.IFS(MONTH(A152)&lt;=3,1,MONTH(A152)&lt;=6,4,MONTH(A152)&lt;=9,7,MONTH(A152)&lt;=12,10),1)</f>
        <v>45383</v>
      </c>
      <c r="F152" s="1">
        <f t="shared" si="14"/>
        <v>45292</v>
      </c>
      <c r="G152">
        <f t="shared" si="15"/>
        <v>5</v>
      </c>
      <c r="H152">
        <f t="shared" si="16"/>
        <v>4</v>
      </c>
      <c r="I152">
        <f t="shared" si="17"/>
        <v>22</v>
      </c>
      <c r="J152" t="str" cm="1">
        <f t="array" ref="J152">_xlfn.IFS(H152&lt;6,"Weekday",H152&gt;5,"Weekend")</f>
        <v>Weekday</v>
      </c>
    </row>
    <row r="153" spans="1:10" x14ac:dyDescent="0.25">
      <c r="A153" s="1">
        <v>45443</v>
      </c>
      <c r="B153" s="1" t="str" cm="1">
        <f t="array" ref="B153">_xlfn.IFS(H153=1,"Monday",H153=2,"Tuesday",H153=3,"Wednesday",H153=4,"Thursday",H153=5,"Friday",H153=6,"Saturday",H153=7,"Sunday")</f>
        <v>Friday</v>
      </c>
      <c r="C153" s="1">
        <f t="shared" si="12"/>
        <v>45439</v>
      </c>
      <c r="D153" s="1">
        <f t="shared" si="13"/>
        <v>45413</v>
      </c>
      <c r="E153" s="1" cm="1">
        <f t="array" ref="E153">DATE(YEAR(A153),_xlfn.IFS(MONTH(A153)&lt;=3,1,MONTH(A153)&lt;=6,4,MONTH(A153)&lt;=9,7,MONTH(A153)&lt;=12,10),1)</f>
        <v>45383</v>
      </c>
      <c r="F153" s="1">
        <f t="shared" si="14"/>
        <v>45292</v>
      </c>
      <c r="G153">
        <f t="shared" si="15"/>
        <v>5</v>
      </c>
      <c r="H153">
        <f t="shared" si="16"/>
        <v>5</v>
      </c>
      <c r="I153">
        <f t="shared" si="17"/>
        <v>22</v>
      </c>
      <c r="J153" t="str" cm="1">
        <f t="array" ref="J153">_xlfn.IFS(H153&lt;6,"Weekday",H153&gt;5,"Weekend")</f>
        <v>Weekday</v>
      </c>
    </row>
    <row r="154" spans="1:10" x14ac:dyDescent="0.25">
      <c r="A154" s="1">
        <v>45444</v>
      </c>
      <c r="B154" s="1" t="str" cm="1">
        <f t="array" ref="B154">_xlfn.IFS(H154=1,"Monday",H154=2,"Tuesday",H154=3,"Wednesday",H154=4,"Thursday",H154=5,"Friday",H154=6,"Saturday",H154=7,"Sunday")</f>
        <v>Saturday</v>
      </c>
      <c r="C154" s="1">
        <f t="shared" si="12"/>
        <v>45439</v>
      </c>
      <c r="D154" s="1">
        <f t="shared" si="13"/>
        <v>45444</v>
      </c>
      <c r="E154" s="1" cm="1">
        <f t="array" ref="E154">DATE(YEAR(A154),_xlfn.IFS(MONTH(A154)&lt;=3,1,MONTH(A154)&lt;=6,4,MONTH(A154)&lt;=9,7,MONTH(A154)&lt;=12,10),1)</f>
        <v>45383</v>
      </c>
      <c r="F154" s="1">
        <f t="shared" si="14"/>
        <v>45292</v>
      </c>
      <c r="G154">
        <f t="shared" si="15"/>
        <v>6</v>
      </c>
      <c r="H154">
        <f t="shared" si="16"/>
        <v>6</v>
      </c>
      <c r="I154">
        <f t="shared" si="17"/>
        <v>22</v>
      </c>
      <c r="J154" t="str" cm="1">
        <f t="array" ref="J154">_xlfn.IFS(H154&lt;6,"Weekday",H154&gt;5,"Weekend")</f>
        <v>Weekend</v>
      </c>
    </row>
    <row r="155" spans="1:10" x14ac:dyDescent="0.25">
      <c r="A155" s="1">
        <v>45445</v>
      </c>
      <c r="B155" s="1" t="str" cm="1">
        <f t="array" ref="B155">_xlfn.IFS(H155=1,"Monday",H155=2,"Tuesday",H155=3,"Wednesday",H155=4,"Thursday",H155=5,"Friday",H155=6,"Saturday",H155=7,"Sunday")</f>
        <v>Sunday</v>
      </c>
      <c r="C155" s="1">
        <f t="shared" si="12"/>
        <v>45439</v>
      </c>
      <c r="D155" s="1">
        <f t="shared" si="13"/>
        <v>45444</v>
      </c>
      <c r="E155" s="1" cm="1">
        <f t="array" ref="E155">DATE(YEAR(A155),_xlfn.IFS(MONTH(A155)&lt;=3,1,MONTH(A155)&lt;=6,4,MONTH(A155)&lt;=9,7,MONTH(A155)&lt;=12,10),1)</f>
        <v>45383</v>
      </c>
      <c r="F155" s="1">
        <f t="shared" si="14"/>
        <v>45292</v>
      </c>
      <c r="G155">
        <f t="shared" si="15"/>
        <v>6</v>
      </c>
      <c r="H155">
        <f t="shared" si="16"/>
        <v>7</v>
      </c>
      <c r="I155">
        <f t="shared" si="17"/>
        <v>22</v>
      </c>
      <c r="J155" t="str" cm="1">
        <f t="array" ref="J155">_xlfn.IFS(H155&lt;6,"Weekday",H155&gt;5,"Weekend")</f>
        <v>Weekend</v>
      </c>
    </row>
    <row r="156" spans="1:10" x14ac:dyDescent="0.25">
      <c r="A156" s="1">
        <v>45446</v>
      </c>
      <c r="B156" s="1" t="str" cm="1">
        <f t="array" ref="B156">_xlfn.IFS(H156=1,"Monday",H156=2,"Tuesday",H156=3,"Wednesday",H156=4,"Thursday",H156=5,"Friday",H156=6,"Saturday",H156=7,"Sunday")</f>
        <v>Monday</v>
      </c>
      <c r="C156" s="1">
        <f t="shared" si="12"/>
        <v>45446</v>
      </c>
      <c r="D156" s="1">
        <f t="shared" si="13"/>
        <v>45444</v>
      </c>
      <c r="E156" s="1" cm="1">
        <f t="array" ref="E156">DATE(YEAR(A156),_xlfn.IFS(MONTH(A156)&lt;=3,1,MONTH(A156)&lt;=6,4,MONTH(A156)&lt;=9,7,MONTH(A156)&lt;=12,10),1)</f>
        <v>45383</v>
      </c>
      <c r="F156" s="1">
        <f t="shared" si="14"/>
        <v>45292</v>
      </c>
      <c r="G156">
        <f t="shared" si="15"/>
        <v>6</v>
      </c>
      <c r="H156">
        <f t="shared" si="16"/>
        <v>1</v>
      </c>
      <c r="I156">
        <f t="shared" si="17"/>
        <v>23</v>
      </c>
      <c r="J156" t="str" cm="1">
        <f t="array" ref="J156">_xlfn.IFS(H156&lt;6,"Weekday",H156&gt;5,"Weekend")</f>
        <v>Weekday</v>
      </c>
    </row>
    <row r="157" spans="1:10" x14ac:dyDescent="0.25">
      <c r="A157" s="1">
        <v>45447</v>
      </c>
      <c r="B157" s="1" t="str" cm="1">
        <f t="array" ref="B157">_xlfn.IFS(H157=1,"Monday",H157=2,"Tuesday",H157=3,"Wednesday",H157=4,"Thursday",H157=5,"Friday",H157=6,"Saturday",H157=7,"Sunday")</f>
        <v>Tuesday</v>
      </c>
      <c r="C157" s="1">
        <f t="shared" si="12"/>
        <v>45446</v>
      </c>
      <c r="D157" s="1">
        <f t="shared" si="13"/>
        <v>45444</v>
      </c>
      <c r="E157" s="1" cm="1">
        <f t="array" ref="E157">DATE(YEAR(A157),_xlfn.IFS(MONTH(A157)&lt;=3,1,MONTH(A157)&lt;=6,4,MONTH(A157)&lt;=9,7,MONTH(A157)&lt;=12,10),1)</f>
        <v>45383</v>
      </c>
      <c r="F157" s="1">
        <f t="shared" si="14"/>
        <v>45292</v>
      </c>
      <c r="G157">
        <f t="shared" si="15"/>
        <v>6</v>
      </c>
      <c r="H157">
        <f t="shared" si="16"/>
        <v>2</v>
      </c>
      <c r="I157">
        <f t="shared" si="17"/>
        <v>23</v>
      </c>
      <c r="J157" t="str" cm="1">
        <f t="array" ref="J157">_xlfn.IFS(H157&lt;6,"Weekday",H157&gt;5,"Weekend")</f>
        <v>Weekday</v>
      </c>
    </row>
    <row r="158" spans="1:10" x14ac:dyDescent="0.25">
      <c r="A158" s="1">
        <v>45448</v>
      </c>
      <c r="B158" s="1" t="str" cm="1">
        <f t="array" ref="B158">_xlfn.IFS(H158=1,"Monday",H158=2,"Tuesday",H158=3,"Wednesday",H158=4,"Thursday",H158=5,"Friday",H158=6,"Saturday",H158=7,"Sunday")</f>
        <v>Wednesday</v>
      </c>
      <c r="C158" s="1">
        <f t="shared" si="12"/>
        <v>45446</v>
      </c>
      <c r="D158" s="1">
        <f t="shared" si="13"/>
        <v>45444</v>
      </c>
      <c r="E158" s="1" cm="1">
        <f t="array" ref="E158">DATE(YEAR(A158),_xlfn.IFS(MONTH(A158)&lt;=3,1,MONTH(A158)&lt;=6,4,MONTH(A158)&lt;=9,7,MONTH(A158)&lt;=12,10),1)</f>
        <v>45383</v>
      </c>
      <c r="F158" s="1">
        <f t="shared" si="14"/>
        <v>45292</v>
      </c>
      <c r="G158">
        <f t="shared" si="15"/>
        <v>6</v>
      </c>
      <c r="H158">
        <f t="shared" si="16"/>
        <v>3</v>
      </c>
      <c r="I158">
        <f t="shared" si="17"/>
        <v>23</v>
      </c>
      <c r="J158" t="str" cm="1">
        <f t="array" ref="J158">_xlfn.IFS(H158&lt;6,"Weekday",H158&gt;5,"Weekend")</f>
        <v>Weekday</v>
      </c>
    </row>
    <row r="159" spans="1:10" x14ac:dyDescent="0.25">
      <c r="A159" s="1">
        <v>45449</v>
      </c>
      <c r="B159" s="1" t="str" cm="1">
        <f t="array" ref="B159">_xlfn.IFS(H159=1,"Monday",H159=2,"Tuesday",H159=3,"Wednesday",H159=4,"Thursday",H159=5,"Friday",H159=6,"Saturday",H159=7,"Sunday")</f>
        <v>Thursday</v>
      </c>
      <c r="C159" s="1">
        <f t="shared" si="12"/>
        <v>45446</v>
      </c>
      <c r="D159" s="1">
        <f t="shared" si="13"/>
        <v>45444</v>
      </c>
      <c r="E159" s="1" cm="1">
        <f t="array" ref="E159">DATE(YEAR(A159),_xlfn.IFS(MONTH(A159)&lt;=3,1,MONTH(A159)&lt;=6,4,MONTH(A159)&lt;=9,7,MONTH(A159)&lt;=12,10),1)</f>
        <v>45383</v>
      </c>
      <c r="F159" s="1">
        <f t="shared" si="14"/>
        <v>45292</v>
      </c>
      <c r="G159">
        <f t="shared" si="15"/>
        <v>6</v>
      </c>
      <c r="H159">
        <f t="shared" si="16"/>
        <v>4</v>
      </c>
      <c r="I159">
        <f t="shared" si="17"/>
        <v>23</v>
      </c>
      <c r="J159" t="str" cm="1">
        <f t="array" ref="J159">_xlfn.IFS(H159&lt;6,"Weekday",H159&gt;5,"Weekend")</f>
        <v>Weekday</v>
      </c>
    </row>
    <row r="160" spans="1:10" x14ac:dyDescent="0.25">
      <c r="A160" s="1">
        <v>45450</v>
      </c>
      <c r="B160" s="1" t="str" cm="1">
        <f t="array" ref="B160">_xlfn.IFS(H160=1,"Monday",H160=2,"Tuesday",H160=3,"Wednesday",H160=4,"Thursday",H160=5,"Friday",H160=6,"Saturday",H160=7,"Sunday")</f>
        <v>Friday</v>
      </c>
      <c r="C160" s="1">
        <f t="shared" si="12"/>
        <v>45446</v>
      </c>
      <c r="D160" s="1">
        <f t="shared" si="13"/>
        <v>45444</v>
      </c>
      <c r="E160" s="1" cm="1">
        <f t="array" ref="E160">DATE(YEAR(A160),_xlfn.IFS(MONTH(A160)&lt;=3,1,MONTH(A160)&lt;=6,4,MONTH(A160)&lt;=9,7,MONTH(A160)&lt;=12,10),1)</f>
        <v>45383</v>
      </c>
      <c r="F160" s="1">
        <f t="shared" si="14"/>
        <v>45292</v>
      </c>
      <c r="G160">
        <f t="shared" si="15"/>
        <v>6</v>
      </c>
      <c r="H160">
        <f t="shared" si="16"/>
        <v>5</v>
      </c>
      <c r="I160">
        <f t="shared" si="17"/>
        <v>23</v>
      </c>
      <c r="J160" t="str" cm="1">
        <f t="array" ref="J160">_xlfn.IFS(H160&lt;6,"Weekday",H160&gt;5,"Weekend")</f>
        <v>Weekday</v>
      </c>
    </row>
    <row r="161" spans="1:10" x14ac:dyDescent="0.25">
      <c r="A161" s="1">
        <v>45451</v>
      </c>
      <c r="B161" s="1" t="str" cm="1">
        <f t="array" ref="B161">_xlfn.IFS(H161=1,"Monday",H161=2,"Tuesday",H161=3,"Wednesday",H161=4,"Thursday",H161=5,"Friday",H161=6,"Saturday",H161=7,"Sunday")</f>
        <v>Saturday</v>
      </c>
      <c r="C161" s="1">
        <f t="shared" si="12"/>
        <v>45446</v>
      </c>
      <c r="D161" s="1">
        <f t="shared" si="13"/>
        <v>45444</v>
      </c>
      <c r="E161" s="1" cm="1">
        <f t="array" ref="E161">DATE(YEAR(A161),_xlfn.IFS(MONTH(A161)&lt;=3,1,MONTH(A161)&lt;=6,4,MONTH(A161)&lt;=9,7,MONTH(A161)&lt;=12,10),1)</f>
        <v>45383</v>
      </c>
      <c r="F161" s="1">
        <f t="shared" si="14"/>
        <v>45292</v>
      </c>
      <c r="G161">
        <f t="shared" si="15"/>
        <v>6</v>
      </c>
      <c r="H161">
        <f t="shared" si="16"/>
        <v>6</v>
      </c>
      <c r="I161">
        <f t="shared" si="17"/>
        <v>23</v>
      </c>
      <c r="J161" t="str" cm="1">
        <f t="array" ref="J161">_xlfn.IFS(H161&lt;6,"Weekday",H161&gt;5,"Weekend")</f>
        <v>Weekend</v>
      </c>
    </row>
    <row r="162" spans="1:10" x14ac:dyDescent="0.25">
      <c r="A162" s="1">
        <v>45452</v>
      </c>
      <c r="B162" s="1" t="str" cm="1">
        <f t="array" ref="B162">_xlfn.IFS(H162=1,"Monday",H162=2,"Tuesday",H162=3,"Wednesday",H162=4,"Thursday",H162=5,"Friday",H162=6,"Saturday",H162=7,"Sunday")</f>
        <v>Sunday</v>
      </c>
      <c r="C162" s="1">
        <f t="shared" si="12"/>
        <v>45446</v>
      </c>
      <c r="D162" s="1">
        <f t="shared" si="13"/>
        <v>45444</v>
      </c>
      <c r="E162" s="1" cm="1">
        <f t="array" ref="E162">DATE(YEAR(A162),_xlfn.IFS(MONTH(A162)&lt;=3,1,MONTH(A162)&lt;=6,4,MONTH(A162)&lt;=9,7,MONTH(A162)&lt;=12,10),1)</f>
        <v>45383</v>
      </c>
      <c r="F162" s="1">
        <f t="shared" si="14"/>
        <v>45292</v>
      </c>
      <c r="G162">
        <f t="shared" si="15"/>
        <v>6</v>
      </c>
      <c r="H162">
        <f t="shared" si="16"/>
        <v>7</v>
      </c>
      <c r="I162">
        <f t="shared" si="17"/>
        <v>23</v>
      </c>
      <c r="J162" t="str" cm="1">
        <f t="array" ref="J162">_xlfn.IFS(H162&lt;6,"Weekday",H162&gt;5,"Weekend")</f>
        <v>Weekend</v>
      </c>
    </row>
    <row r="163" spans="1:10" x14ac:dyDescent="0.25">
      <c r="A163" s="1">
        <v>45453</v>
      </c>
      <c r="B163" s="1" t="str" cm="1">
        <f t="array" ref="B163">_xlfn.IFS(H163=1,"Monday",H163=2,"Tuesday",H163=3,"Wednesday",H163=4,"Thursday",H163=5,"Friday",H163=6,"Saturday",H163=7,"Sunday")</f>
        <v>Monday</v>
      </c>
      <c r="C163" s="1">
        <f t="shared" si="12"/>
        <v>45453</v>
      </c>
      <c r="D163" s="1">
        <f t="shared" si="13"/>
        <v>45444</v>
      </c>
      <c r="E163" s="1" cm="1">
        <f t="array" ref="E163">DATE(YEAR(A163),_xlfn.IFS(MONTH(A163)&lt;=3,1,MONTH(A163)&lt;=6,4,MONTH(A163)&lt;=9,7,MONTH(A163)&lt;=12,10),1)</f>
        <v>45383</v>
      </c>
      <c r="F163" s="1">
        <f t="shared" si="14"/>
        <v>45292</v>
      </c>
      <c r="G163">
        <f t="shared" si="15"/>
        <v>6</v>
      </c>
      <c r="H163">
        <f t="shared" si="16"/>
        <v>1</v>
      </c>
      <c r="I163">
        <f t="shared" si="17"/>
        <v>24</v>
      </c>
      <c r="J163" t="str" cm="1">
        <f t="array" ref="J163">_xlfn.IFS(H163&lt;6,"Weekday",H163&gt;5,"Weekend")</f>
        <v>Weekday</v>
      </c>
    </row>
    <row r="164" spans="1:10" x14ac:dyDescent="0.25">
      <c r="A164" s="1">
        <v>45454</v>
      </c>
      <c r="B164" s="1" t="str" cm="1">
        <f t="array" ref="B164">_xlfn.IFS(H164=1,"Monday",H164=2,"Tuesday",H164=3,"Wednesday",H164=4,"Thursday",H164=5,"Friday",H164=6,"Saturday",H164=7,"Sunday")</f>
        <v>Tuesday</v>
      </c>
      <c r="C164" s="1">
        <f t="shared" si="12"/>
        <v>45453</v>
      </c>
      <c r="D164" s="1">
        <f t="shared" si="13"/>
        <v>45444</v>
      </c>
      <c r="E164" s="1" cm="1">
        <f t="array" ref="E164">DATE(YEAR(A164),_xlfn.IFS(MONTH(A164)&lt;=3,1,MONTH(A164)&lt;=6,4,MONTH(A164)&lt;=9,7,MONTH(A164)&lt;=12,10),1)</f>
        <v>45383</v>
      </c>
      <c r="F164" s="1">
        <f t="shared" si="14"/>
        <v>45292</v>
      </c>
      <c r="G164">
        <f t="shared" si="15"/>
        <v>6</v>
      </c>
      <c r="H164">
        <f t="shared" si="16"/>
        <v>2</v>
      </c>
      <c r="I164">
        <f t="shared" si="17"/>
        <v>24</v>
      </c>
      <c r="J164" t="str" cm="1">
        <f t="array" ref="J164">_xlfn.IFS(H164&lt;6,"Weekday",H164&gt;5,"Weekend")</f>
        <v>Weekday</v>
      </c>
    </row>
    <row r="165" spans="1:10" x14ac:dyDescent="0.25">
      <c r="A165" s="1">
        <v>45455</v>
      </c>
      <c r="B165" s="1" t="str" cm="1">
        <f t="array" ref="B165">_xlfn.IFS(H165=1,"Monday",H165=2,"Tuesday",H165=3,"Wednesday",H165=4,"Thursday",H165=5,"Friday",H165=6,"Saturday",H165=7,"Sunday")</f>
        <v>Wednesday</v>
      </c>
      <c r="C165" s="1">
        <f t="shared" si="12"/>
        <v>45453</v>
      </c>
      <c r="D165" s="1">
        <f t="shared" si="13"/>
        <v>45444</v>
      </c>
      <c r="E165" s="1" cm="1">
        <f t="array" ref="E165">DATE(YEAR(A165),_xlfn.IFS(MONTH(A165)&lt;=3,1,MONTH(A165)&lt;=6,4,MONTH(A165)&lt;=9,7,MONTH(A165)&lt;=12,10),1)</f>
        <v>45383</v>
      </c>
      <c r="F165" s="1">
        <f t="shared" si="14"/>
        <v>45292</v>
      </c>
      <c r="G165">
        <f t="shared" si="15"/>
        <v>6</v>
      </c>
      <c r="H165">
        <f t="shared" si="16"/>
        <v>3</v>
      </c>
      <c r="I165">
        <f t="shared" si="17"/>
        <v>24</v>
      </c>
      <c r="J165" t="str" cm="1">
        <f t="array" ref="J165">_xlfn.IFS(H165&lt;6,"Weekday",H165&gt;5,"Weekend")</f>
        <v>Weekday</v>
      </c>
    </row>
    <row r="166" spans="1:10" x14ac:dyDescent="0.25">
      <c r="A166" s="1">
        <v>45456</v>
      </c>
      <c r="B166" s="1" t="str" cm="1">
        <f t="array" ref="B166">_xlfn.IFS(H166=1,"Monday",H166=2,"Tuesday",H166=3,"Wednesday",H166=4,"Thursday",H166=5,"Friday",H166=6,"Saturday",H166=7,"Sunday")</f>
        <v>Thursday</v>
      </c>
      <c r="C166" s="1">
        <f t="shared" si="12"/>
        <v>45453</v>
      </c>
      <c r="D166" s="1">
        <f t="shared" si="13"/>
        <v>45444</v>
      </c>
      <c r="E166" s="1" cm="1">
        <f t="array" ref="E166">DATE(YEAR(A166),_xlfn.IFS(MONTH(A166)&lt;=3,1,MONTH(A166)&lt;=6,4,MONTH(A166)&lt;=9,7,MONTH(A166)&lt;=12,10),1)</f>
        <v>45383</v>
      </c>
      <c r="F166" s="1">
        <f t="shared" si="14"/>
        <v>45292</v>
      </c>
      <c r="G166">
        <f t="shared" si="15"/>
        <v>6</v>
      </c>
      <c r="H166">
        <f t="shared" si="16"/>
        <v>4</v>
      </c>
      <c r="I166">
        <f t="shared" si="17"/>
        <v>24</v>
      </c>
      <c r="J166" t="str" cm="1">
        <f t="array" ref="J166">_xlfn.IFS(H166&lt;6,"Weekday",H166&gt;5,"Weekend")</f>
        <v>Weekday</v>
      </c>
    </row>
    <row r="167" spans="1:10" x14ac:dyDescent="0.25">
      <c r="A167" s="1">
        <v>45457</v>
      </c>
      <c r="B167" s="1" t="str" cm="1">
        <f t="array" ref="B167">_xlfn.IFS(H167=1,"Monday",H167=2,"Tuesday",H167=3,"Wednesday",H167=4,"Thursday",H167=5,"Friday",H167=6,"Saturday",H167=7,"Sunday")</f>
        <v>Friday</v>
      </c>
      <c r="C167" s="1">
        <f t="shared" si="12"/>
        <v>45453</v>
      </c>
      <c r="D167" s="1">
        <f t="shared" si="13"/>
        <v>45444</v>
      </c>
      <c r="E167" s="1" cm="1">
        <f t="array" ref="E167">DATE(YEAR(A167),_xlfn.IFS(MONTH(A167)&lt;=3,1,MONTH(A167)&lt;=6,4,MONTH(A167)&lt;=9,7,MONTH(A167)&lt;=12,10),1)</f>
        <v>45383</v>
      </c>
      <c r="F167" s="1">
        <f t="shared" si="14"/>
        <v>45292</v>
      </c>
      <c r="G167">
        <f t="shared" si="15"/>
        <v>6</v>
      </c>
      <c r="H167">
        <f t="shared" si="16"/>
        <v>5</v>
      </c>
      <c r="I167">
        <f t="shared" si="17"/>
        <v>24</v>
      </c>
      <c r="J167" t="str" cm="1">
        <f t="array" ref="J167">_xlfn.IFS(H167&lt;6,"Weekday",H167&gt;5,"Weekend")</f>
        <v>Weekday</v>
      </c>
    </row>
    <row r="168" spans="1:10" x14ac:dyDescent="0.25">
      <c r="A168" s="1">
        <v>45458</v>
      </c>
      <c r="B168" s="1" t="str" cm="1">
        <f t="array" ref="B168">_xlfn.IFS(H168=1,"Monday",H168=2,"Tuesday",H168=3,"Wednesday",H168=4,"Thursday",H168=5,"Friday",H168=6,"Saturday",H168=7,"Sunday")</f>
        <v>Saturday</v>
      </c>
      <c r="C168" s="1">
        <f t="shared" si="12"/>
        <v>45453</v>
      </c>
      <c r="D168" s="1">
        <f t="shared" si="13"/>
        <v>45444</v>
      </c>
      <c r="E168" s="1" cm="1">
        <f t="array" ref="E168">DATE(YEAR(A168),_xlfn.IFS(MONTH(A168)&lt;=3,1,MONTH(A168)&lt;=6,4,MONTH(A168)&lt;=9,7,MONTH(A168)&lt;=12,10),1)</f>
        <v>45383</v>
      </c>
      <c r="F168" s="1">
        <f t="shared" si="14"/>
        <v>45292</v>
      </c>
      <c r="G168">
        <f t="shared" si="15"/>
        <v>6</v>
      </c>
      <c r="H168">
        <f t="shared" si="16"/>
        <v>6</v>
      </c>
      <c r="I168">
        <f t="shared" si="17"/>
        <v>24</v>
      </c>
      <c r="J168" t="str" cm="1">
        <f t="array" ref="J168">_xlfn.IFS(H168&lt;6,"Weekday",H168&gt;5,"Weekend")</f>
        <v>Weekend</v>
      </c>
    </row>
    <row r="169" spans="1:10" x14ac:dyDescent="0.25">
      <c r="A169" s="1">
        <v>45459</v>
      </c>
      <c r="B169" s="1" t="str" cm="1">
        <f t="array" ref="B169">_xlfn.IFS(H169=1,"Monday",H169=2,"Tuesday",H169=3,"Wednesday",H169=4,"Thursday",H169=5,"Friday",H169=6,"Saturday",H169=7,"Sunday")</f>
        <v>Sunday</v>
      </c>
      <c r="C169" s="1">
        <f t="shared" si="12"/>
        <v>45453</v>
      </c>
      <c r="D169" s="1">
        <f t="shared" si="13"/>
        <v>45444</v>
      </c>
      <c r="E169" s="1" cm="1">
        <f t="array" ref="E169">DATE(YEAR(A169),_xlfn.IFS(MONTH(A169)&lt;=3,1,MONTH(A169)&lt;=6,4,MONTH(A169)&lt;=9,7,MONTH(A169)&lt;=12,10),1)</f>
        <v>45383</v>
      </c>
      <c r="F169" s="1">
        <f t="shared" si="14"/>
        <v>45292</v>
      </c>
      <c r="G169">
        <f t="shared" si="15"/>
        <v>6</v>
      </c>
      <c r="H169">
        <f t="shared" si="16"/>
        <v>7</v>
      </c>
      <c r="I169">
        <f t="shared" si="17"/>
        <v>24</v>
      </c>
      <c r="J169" t="str" cm="1">
        <f t="array" ref="J169">_xlfn.IFS(H169&lt;6,"Weekday",H169&gt;5,"Weekend")</f>
        <v>Weekend</v>
      </c>
    </row>
    <row r="170" spans="1:10" x14ac:dyDescent="0.25">
      <c r="A170" s="1">
        <v>45460</v>
      </c>
      <c r="B170" s="1" t="str" cm="1">
        <f t="array" ref="B170">_xlfn.IFS(H170=1,"Monday",H170=2,"Tuesday",H170=3,"Wednesday",H170=4,"Thursday",H170=5,"Friday",H170=6,"Saturday",H170=7,"Sunday")</f>
        <v>Monday</v>
      </c>
      <c r="C170" s="1">
        <f t="shared" si="12"/>
        <v>45460</v>
      </c>
      <c r="D170" s="1">
        <f t="shared" si="13"/>
        <v>45444</v>
      </c>
      <c r="E170" s="1" cm="1">
        <f t="array" ref="E170">DATE(YEAR(A170),_xlfn.IFS(MONTH(A170)&lt;=3,1,MONTH(A170)&lt;=6,4,MONTH(A170)&lt;=9,7,MONTH(A170)&lt;=12,10),1)</f>
        <v>45383</v>
      </c>
      <c r="F170" s="1">
        <f t="shared" si="14"/>
        <v>45292</v>
      </c>
      <c r="G170">
        <f t="shared" si="15"/>
        <v>6</v>
      </c>
      <c r="H170">
        <f t="shared" si="16"/>
        <v>1</v>
      </c>
      <c r="I170">
        <f t="shared" si="17"/>
        <v>25</v>
      </c>
      <c r="J170" t="str" cm="1">
        <f t="array" ref="J170">_xlfn.IFS(H170&lt;6,"Weekday",H170&gt;5,"Weekend")</f>
        <v>Weekday</v>
      </c>
    </row>
    <row r="171" spans="1:10" x14ac:dyDescent="0.25">
      <c r="A171" s="1">
        <v>45461</v>
      </c>
      <c r="B171" s="1" t="str" cm="1">
        <f t="array" ref="B171">_xlfn.IFS(H171=1,"Monday",H171=2,"Tuesday",H171=3,"Wednesday",H171=4,"Thursday",H171=5,"Friday",H171=6,"Saturday",H171=7,"Sunday")</f>
        <v>Tuesday</v>
      </c>
      <c r="C171" s="1">
        <f t="shared" si="12"/>
        <v>45460</v>
      </c>
      <c r="D171" s="1">
        <f t="shared" si="13"/>
        <v>45444</v>
      </c>
      <c r="E171" s="1" cm="1">
        <f t="array" ref="E171">DATE(YEAR(A171),_xlfn.IFS(MONTH(A171)&lt;=3,1,MONTH(A171)&lt;=6,4,MONTH(A171)&lt;=9,7,MONTH(A171)&lt;=12,10),1)</f>
        <v>45383</v>
      </c>
      <c r="F171" s="1">
        <f t="shared" si="14"/>
        <v>45292</v>
      </c>
      <c r="G171">
        <f t="shared" si="15"/>
        <v>6</v>
      </c>
      <c r="H171">
        <f t="shared" si="16"/>
        <v>2</v>
      </c>
      <c r="I171">
        <f t="shared" si="17"/>
        <v>25</v>
      </c>
      <c r="J171" t="str" cm="1">
        <f t="array" ref="J171">_xlfn.IFS(H171&lt;6,"Weekday",H171&gt;5,"Weekend")</f>
        <v>Weekday</v>
      </c>
    </row>
    <row r="172" spans="1:10" x14ac:dyDescent="0.25">
      <c r="A172" s="1">
        <v>45462</v>
      </c>
      <c r="B172" s="1" t="str" cm="1">
        <f t="array" ref="B172">_xlfn.IFS(H172=1,"Monday",H172=2,"Tuesday",H172=3,"Wednesday",H172=4,"Thursday",H172=5,"Friday",H172=6,"Saturday",H172=7,"Sunday")</f>
        <v>Wednesday</v>
      </c>
      <c r="C172" s="1">
        <f t="shared" si="12"/>
        <v>45460</v>
      </c>
      <c r="D172" s="1">
        <f t="shared" si="13"/>
        <v>45444</v>
      </c>
      <c r="E172" s="1" cm="1">
        <f t="array" ref="E172">DATE(YEAR(A172),_xlfn.IFS(MONTH(A172)&lt;=3,1,MONTH(A172)&lt;=6,4,MONTH(A172)&lt;=9,7,MONTH(A172)&lt;=12,10),1)</f>
        <v>45383</v>
      </c>
      <c r="F172" s="1">
        <f t="shared" si="14"/>
        <v>45292</v>
      </c>
      <c r="G172">
        <f t="shared" si="15"/>
        <v>6</v>
      </c>
      <c r="H172">
        <f t="shared" si="16"/>
        <v>3</v>
      </c>
      <c r="I172">
        <f t="shared" si="17"/>
        <v>25</v>
      </c>
      <c r="J172" t="str" cm="1">
        <f t="array" ref="J172">_xlfn.IFS(H172&lt;6,"Weekday",H172&gt;5,"Weekend")</f>
        <v>Weekday</v>
      </c>
    </row>
    <row r="173" spans="1:10" x14ac:dyDescent="0.25">
      <c r="A173" s="1">
        <v>45463</v>
      </c>
      <c r="B173" s="1" t="str" cm="1">
        <f t="array" ref="B173">_xlfn.IFS(H173=1,"Monday",H173=2,"Tuesday",H173=3,"Wednesday",H173=4,"Thursday",H173=5,"Friday",H173=6,"Saturday",H173=7,"Sunday")</f>
        <v>Thursday</v>
      </c>
      <c r="C173" s="1">
        <f t="shared" si="12"/>
        <v>45460</v>
      </c>
      <c r="D173" s="1">
        <f t="shared" si="13"/>
        <v>45444</v>
      </c>
      <c r="E173" s="1" cm="1">
        <f t="array" ref="E173">DATE(YEAR(A173),_xlfn.IFS(MONTH(A173)&lt;=3,1,MONTH(A173)&lt;=6,4,MONTH(A173)&lt;=9,7,MONTH(A173)&lt;=12,10),1)</f>
        <v>45383</v>
      </c>
      <c r="F173" s="1">
        <f t="shared" si="14"/>
        <v>45292</v>
      </c>
      <c r="G173">
        <f t="shared" si="15"/>
        <v>6</v>
      </c>
      <c r="H173">
        <f t="shared" si="16"/>
        <v>4</v>
      </c>
      <c r="I173">
        <f t="shared" si="17"/>
        <v>25</v>
      </c>
      <c r="J173" t="str" cm="1">
        <f t="array" ref="J173">_xlfn.IFS(H173&lt;6,"Weekday",H173&gt;5,"Weekend")</f>
        <v>Weekday</v>
      </c>
    </row>
    <row r="174" spans="1:10" x14ac:dyDescent="0.25">
      <c r="A174" s="1">
        <v>45464</v>
      </c>
      <c r="B174" s="1" t="str" cm="1">
        <f t="array" ref="B174">_xlfn.IFS(H174=1,"Monday",H174=2,"Tuesday",H174=3,"Wednesday",H174=4,"Thursday",H174=5,"Friday",H174=6,"Saturday",H174=7,"Sunday")</f>
        <v>Friday</v>
      </c>
      <c r="C174" s="1">
        <f t="shared" si="12"/>
        <v>45460</v>
      </c>
      <c r="D174" s="1">
        <f t="shared" si="13"/>
        <v>45444</v>
      </c>
      <c r="E174" s="1" cm="1">
        <f t="array" ref="E174">DATE(YEAR(A174),_xlfn.IFS(MONTH(A174)&lt;=3,1,MONTH(A174)&lt;=6,4,MONTH(A174)&lt;=9,7,MONTH(A174)&lt;=12,10),1)</f>
        <v>45383</v>
      </c>
      <c r="F174" s="1">
        <f t="shared" si="14"/>
        <v>45292</v>
      </c>
      <c r="G174">
        <f t="shared" si="15"/>
        <v>6</v>
      </c>
      <c r="H174">
        <f t="shared" si="16"/>
        <v>5</v>
      </c>
      <c r="I174">
        <f t="shared" si="17"/>
        <v>25</v>
      </c>
      <c r="J174" t="str" cm="1">
        <f t="array" ref="J174">_xlfn.IFS(H174&lt;6,"Weekday",H174&gt;5,"Weekend")</f>
        <v>Weekday</v>
      </c>
    </row>
    <row r="175" spans="1:10" x14ac:dyDescent="0.25">
      <c r="A175" s="1">
        <v>45465</v>
      </c>
      <c r="B175" s="1" t="str" cm="1">
        <f t="array" ref="B175">_xlfn.IFS(H175=1,"Monday",H175=2,"Tuesday",H175=3,"Wednesday",H175=4,"Thursday",H175=5,"Friday",H175=6,"Saturday",H175=7,"Sunday")</f>
        <v>Saturday</v>
      </c>
      <c r="C175" s="1">
        <f t="shared" si="12"/>
        <v>45460</v>
      </c>
      <c r="D175" s="1">
        <f t="shared" si="13"/>
        <v>45444</v>
      </c>
      <c r="E175" s="1" cm="1">
        <f t="array" ref="E175">DATE(YEAR(A175),_xlfn.IFS(MONTH(A175)&lt;=3,1,MONTH(A175)&lt;=6,4,MONTH(A175)&lt;=9,7,MONTH(A175)&lt;=12,10),1)</f>
        <v>45383</v>
      </c>
      <c r="F175" s="1">
        <f t="shared" si="14"/>
        <v>45292</v>
      </c>
      <c r="G175">
        <f t="shared" si="15"/>
        <v>6</v>
      </c>
      <c r="H175">
        <f t="shared" si="16"/>
        <v>6</v>
      </c>
      <c r="I175">
        <f t="shared" si="17"/>
        <v>25</v>
      </c>
      <c r="J175" t="str" cm="1">
        <f t="array" ref="J175">_xlfn.IFS(H175&lt;6,"Weekday",H175&gt;5,"Weekend")</f>
        <v>Weekend</v>
      </c>
    </row>
    <row r="176" spans="1:10" x14ac:dyDescent="0.25">
      <c r="A176" s="1">
        <v>45466</v>
      </c>
      <c r="B176" s="1" t="str" cm="1">
        <f t="array" ref="B176">_xlfn.IFS(H176=1,"Monday",H176=2,"Tuesday",H176=3,"Wednesday",H176=4,"Thursday",H176=5,"Friday",H176=6,"Saturday",H176=7,"Sunday")</f>
        <v>Sunday</v>
      </c>
      <c r="C176" s="1">
        <f t="shared" si="12"/>
        <v>45460</v>
      </c>
      <c r="D176" s="1">
        <f t="shared" si="13"/>
        <v>45444</v>
      </c>
      <c r="E176" s="1" cm="1">
        <f t="array" ref="E176">DATE(YEAR(A176),_xlfn.IFS(MONTH(A176)&lt;=3,1,MONTH(A176)&lt;=6,4,MONTH(A176)&lt;=9,7,MONTH(A176)&lt;=12,10),1)</f>
        <v>45383</v>
      </c>
      <c r="F176" s="1">
        <f t="shared" si="14"/>
        <v>45292</v>
      </c>
      <c r="G176">
        <f t="shared" si="15"/>
        <v>6</v>
      </c>
      <c r="H176">
        <f t="shared" si="16"/>
        <v>7</v>
      </c>
      <c r="I176">
        <f t="shared" si="17"/>
        <v>25</v>
      </c>
      <c r="J176" t="str" cm="1">
        <f t="array" ref="J176">_xlfn.IFS(H176&lt;6,"Weekday",H176&gt;5,"Weekend")</f>
        <v>Weekend</v>
      </c>
    </row>
    <row r="177" spans="1:10" x14ac:dyDescent="0.25">
      <c r="A177" s="1">
        <v>45467</v>
      </c>
      <c r="B177" s="1" t="str" cm="1">
        <f t="array" ref="B177">_xlfn.IFS(H177=1,"Monday",H177=2,"Tuesday",H177=3,"Wednesday",H177=4,"Thursday",H177=5,"Friday",H177=6,"Saturday",H177=7,"Sunday")</f>
        <v>Monday</v>
      </c>
      <c r="C177" s="1">
        <f t="shared" si="12"/>
        <v>45467</v>
      </c>
      <c r="D177" s="1">
        <f t="shared" si="13"/>
        <v>45444</v>
      </c>
      <c r="E177" s="1" cm="1">
        <f t="array" ref="E177">DATE(YEAR(A177),_xlfn.IFS(MONTH(A177)&lt;=3,1,MONTH(A177)&lt;=6,4,MONTH(A177)&lt;=9,7,MONTH(A177)&lt;=12,10),1)</f>
        <v>45383</v>
      </c>
      <c r="F177" s="1">
        <f t="shared" si="14"/>
        <v>45292</v>
      </c>
      <c r="G177">
        <f t="shared" si="15"/>
        <v>6</v>
      </c>
      <c r="H177">
        <f t="shared" si="16"/>
        <v>1</v>
      </c>
      <c r="I177">
        <f t="shared" si="17"/>
        <v>26</v>
      </c>
      <c r="J177" t="str" cm="1">
        <f t="array" ref="J177">_xlfn.IFS(H177&lt;6,"Weekday",H177&gt;5,"Weekend")</f>
        <v>Weekday</v>
      </c>
    </row>
    <row r="178" spans="1:10" x14ac:dyDescent="0.25">
      <c r="A178" s="1">
        <v>45468</v>
      </c>
      <c r="B178" s="1" t="str" cm="1">
        <f t="array" ref="B178">_xlfn.IFS(H178=1,"Monday",H178=2,"Tuesday",H178=3,"Wednesday",H178=4,"Thursday",H178=5,"Friday",H178=6,"Saturday",H178=7,"Sunday")</f>
        <v>Tuesday</v>
      </c>
      <c r="C178" s="1">
        <f t="shared" si="12"/>
        <v>45467</v>
      </c>
      <c r="D178" s="1">
        <f t="shared" si="13"/>
        <v>45444</v>
      </c>
      <c r="E178" s="1" cm="1">
        <f t="array" ref="E178">DATE(YEAR(A178),_xlfn.IFS(MONTH(A178)&lt;=3,1,MONTH(A178)&lt;=6,4,MONTH(A178)&lt;=9,7,MONTH(A178)&lt;=12,10),1)</f>
        <v>45383</v>
      </c>
      <c r="F178" s="1">
        <f t="shared" si="14"/>
        <v>45292</v>
      </c>
      <c r="G178">
        <f t="shared" si="15"/>
        <v>6</v>
      </c>
      <c r="H178">
        <f t="shared" si="16"/>
        <v>2</v>
      </c>
      <c r="I178">
        <f t="shared" si="17"/>
        <v>26</v>
      </c>
      <c r="J178" t="str" cm="1">
        <f t="array" ref="J178">_xlfn.IFS(H178&lt;6,"Weekday",H178&gt;5,"Weekend")</f>
        <v>Weekday</v>
      </c>
    </row>
    <row r="179" spans="1:10" x14ac:dyDescent="0.25">
      <c r="A179" s="1">
        <v>45469</v>
      </c>
      <c r="B179" s="1" t="str" cm="1">
        <f t="array" ref="B179">_xlfn.IFS(H179=1,"Monday",H179=2,"Tuesday",H179=3,"Wednesday",H179=4,"Thursday",H179=5,"Friday",H179=6,"Saturday",H179=7,"Sunday")</f>
        <v>Wednesday</v>
      </c>
      <c r="C179" s="1">
        <f t="shared" si="12"/>
        <v>45467</v>
      </c>
      <c r="D179" s="1">
        <f t="shared" si="13"/>
        <v>45444</v>
      </c>
      <c r="E179" s="1" cm="1">
        <f t="array" ref="E179">DATE(YEAR(A179),_xlfn.IFS(MONTH(A179)&lt;=3,1,MONTH(A179)&lt;=6,4,MONTH(A179)&lt;=9,7,MONTH(A179)&lt;=12,10),1)</f>
        <v>45383</v>
      </c>
      <c r="F179" s="1">
        <f t="shared" si="14"/>
        <v>45292</v>
      </c>
      <c r="G179">
        <f t="shared" si="15"/>
        <v>6</v>
      </c>
      <c r="H179">
        <f t="shared" si="16"/>
        <v>3</v>
      </c>
      <c r="I179">
        <f t="shared" si="17"/>
        <v>26</v>
      </c>
      <c r="J179" t="str" cm="1">
        <f t="array" ref="J179">_xlfn.IFS(H179&lt;6,"Weekday",H179&gt;5,"Weekend")</f>
        <v>Weekday</v>
      </c>
    </row>
    <row r="180" spans="1:10" x14ac:dyDescent="0.25">
      <c r="A180" s="1">
        <v>45470</v>
      </c>
      <c r="B180" s="1" t="str" cm="1">
        <f t="array" ref="B180">_xlfn.IFS(H180=1,"Monday",H180=2,"Tuesday",H180=3,"Wednesday",H180=4,"Thursday",H180=5,"Friday",H180=6,"Saturday",H180=7,"Sunday")</f>
        <v>Thursday</v>
      </c>
      <c r="C180" s="1">
        <f t="shared" si="12"/>
        <v>45467</v>
      </c>
      <c r="D180" s="1">
        <f t="shared" si="13"/>
        <v>45444</v>
      </c>
      <c r="E180" s="1" cm="1">
        <f t="array" ref="E180">DATE(YEAR(A180),_xlfn.IFS(MONTH(A180)&lt;=3,1,MONTH(A180)&lt;=6,4,MONTH(A180)&lt;=9,7,MONTH(A180)&lt;=12,10),1)</f>
        <v>45383</v>
      </c>
      <c r="F180" s="1">
        <f t="shared" si="14"/>
        <v>45292</v>
      </c>
      <c r="G180">
        <f t="shared" si="15"/>
        <v>6</v>
      </c>
      <c r="H180">
        <f t="shared" si="16"/>
        <v>4</v>
      </c>
      <c r="I180">
        <f t="shared" si="17"/>
        <v>26</v>
      </c>
      <c r="J180" t="str" cm="1">
        <f t="array" ref="J180">_xlfn.IFS(H180&lt;6,"Weekday",H180&gt;5,"Weekend")</f>
        <v>Weekday</v>
      </c>
    </row>
    <row r="181" spans="1:10" x14ac:dyDescent="0.25">
      <c r="A181" s="1">
        <v>45471</v>
      </c>
      <c r="B181" s="1" t="str" cm="1">
        <f t="array" ref="B181">_xlfn.IFS(H181=1,"Monday",H181=2,"Tuesday",H181=3,"Wednesday",H181=4,"Thursday",H181=5,"Friday",H181=6,"Saturday",H181=7,"Sunday")</f>
        <v>Friday</v>
      </c>
      <c r="C181" s="1">
        <f t="shared" si="12"/>
        <v>45467</v>
      </c>
      <c r="D181" s="1">
        <f t="shared" si="13"/>
        <v>45444</v>
      </c>
      <c r="E181" s="1" cm="1">
        <f t="array" ref="E181">DATE(YEAR(A181),_xlfn.IFS(MONTH(A181)&lt;=3,1,MONTH(A181)&lt;=6,4,MONTH(A181)&lt;=9,7,MONTH(A181)&lt;=12,10),1)</f>
        <v>45383</v>
      </c>
      <c r="F181" s="1">
        <f t="shared" si="14"/>
        <v>45292</v>
      </c>
      <c r="G181">
        <f t="shared" si="15"/>
        <v>6</v>
      </c>
      <c r="H181">
        <f t="shared" si="16"/>
        <v>5</v>
      </c>
      <c r="I181">
        <f t="shared" si="17"/>
        <v>26</v>
      </c>
      <c r="J181" t="str" cm="1">
        <f t="array" ref="J181">_xlfn.IFS(H181&lt;6,"Weekday",H181&gt;5,"Weekend")</f>
        <v>Weekday</v>
      </c>
    </row>
    <row r="182" spans="1:10" x14ac:dyDescent="0.25">
      <c r="A182" s="1">
        <v>45472</v>
      </c>
      <c r="B182" s="1" t="str" cm="1">
        <f t="array" ref="B182">_xlfn.IFS(H182=1,"Monday",H182=2,"Tuesday",H182=3,"Wednesday",H182=4,"Thursday",H182=5,"Friday",H182=6,"Saturday",H182=7,"Sunday")</f>
        <v>Saturday</v>
      </c>
      <c r="C182" s="1">
        <f t="shared" si="12"/>
        <v>45467</v>
      </c>
      <c r="D182" s="1">
        <f t="shared" si="13"/>
        <v>45444</v>
      </c>
      <c r="E182" s="1" cm="1">
        <f t="array" ref="E182">DATE(YEAR(A182),_xlfn.IFS(MONTH(A182)&lt;=3,1,MONTH(A182)&lt;=6,4,MONTH(A182)&lt;=9,7,MONTH(A182)&lt;=12,10),1)</f>
        <v>45383</v>
      </c>
      <c r="F182" s="1">
        <f t="shared" si="14"/>
        <v>45292</v>
      </c>
      <c r="G182">
        <f t="shared" si="15"/>
        <v>6</v>
      </c>
      <c r="H182">
        <f t="shared" si="16"/>
        <v>6</v>
      </c>
      <c r="I182">
        <f t="shared" si="17"/>
        <v>26</v>
      </c>
      <c r="J182" t="str" cm="1">
        <f t="array" ref="J182">_xlfn.IFS(H182&lt;6,"Weekday",H182&gt;5,"Weekend")</f>
        <v>Weekend</v>
      </c>
    </row>
    <row r="183" spans="1:10" x14ac:dyDescent="0.25">
      <c r="A183" s="1">
        <v>45473</v>
      </c>
      <c r="B183" s="1" t="str" cm="1">
        <f t="array" ref="B183">_xlfn.IFS(H183=1,"Monday",H183=2,"Tuesday",H183=3,"Wednesday",H183=4,"Thursday",H183=5,"Friday",H183=6,"Saturday",H183=7,"Sunday")</f>
        <v>Sunday</v>
      </c>
      <c r="C183" s="1">
        <f t="shared" si="12"/>
        <v>45467</v>
      </c>
      <c r="D183" s="1">
        <f t="shared" si="13"/>
        <v>45444</v>
      </c>
      <c r="E183" s="1" cm="1">
        <f t="array" ref="E183">DATE(YEAR(A183),_xlfn.IFS(MONTH(A183)&lt;=3,1,MONTH(A183)&lt;=6,4,MONTH(A183)&lt;=9,7,MONTH(A183)&lt;=12,10),1)</f>
        <v>45383</v>
      </c>
      <c r="F183" s="1">
        <f t="shared" si="14"/>
        <v>45292</v>
      </c>
      <c r="G183">
        <f t="shared" si="15"/>
        <v>6</v>
      </c>
      <c r="H183">
        <f t="shared" si="16"/>
        <v>7</v>
      </c>
      <c r="I183">
        <f t="shared" si="17"/>
        <v>26</v>
      </c>
      <c r="J183" t="str" cm="1">
        <f t="array" ref="J183">_xlfn.IFS(H183&lt;6,"Weekday",H183&gt;5,"Weekend")</f>
        <v>Weekend</v>
      </c>
    </row>
    <row r="184" spans="1:10" x14ac:dyDescent="0.25">
      <c r="A184" s="1">
        <v>45474</v>
      </c>
      <c r="B184" s="1" t="str" cm="1">
        <f t="array" ref="B184">_xlfn.IFS(H184=1,"Monday",H184=2,"Tuesday",H184=3,"Wednesday",H184=4,"Thursday",H184=5,"Friday",H184=6,"Saturday",H184=7,"Sunday")</f>
        <v>Monday</v>
      </c>
      <c r="C184" s="1">
        <f t="shared" si="12"/>
        <v>45474</v>
      </c>
      <c r="D184" s="1">
        <f t="shared" si="13"/>
        <v>45474</v>
      </c>
      <c r="E184" s="1" cm="1">
        <f t="array" ref="E184">DATE(YEAR(A184),_xlfn.IFS(MONTH(A184)&lt;=3,1,MONTH(A184)&lt;=6,4,MONTH(A184)&lt;=9,7,MONTH(A184)&lt;=12,10),1)</f>
        <v>45474</v>
      </c>
      <c r="F184" s="1">
        <f t="shared" si="14"/>
        <v>45292</v>
      </c>
      <c r="G184">
        <f t="shared" si="15"/>
        <v>7</v>
      </c>
      <c r="H184">
        <f t="shared" si="16"/>
        <v>1</v>
      </c>
      <c r="I184">
        <f t="shared" si="17"/>
        <v>27</v>
      </c>
      <c r="J184" t="str" cm="1">
        <f t="array" ref="J184">_xlfn.IFS(H184&lt;6,"Weekday",H184&gt;5,"Weekend")</f>
        <v>Weekday</v>
      </c>
    </row>
    <row r="185" spans="1:10" x14ac:dyDescent="0.25">
      <c r="A185" s="1">
        <v>45475</v>
      </c>
      <c r="B185" s="1" t="str" cm="1">
        <f t="array" ref="B185">_xlfn.IFS(H185=1,"Monday",H185=2,"Tuesday",H185=3,"Wednesday",H185=4,"Thursday",H185=5,"Friday",H185=6,"Saturday",H185=7,"Sunday")</f>
        <v>Tuesday</v>
      </c>
      <c r="C185" s="1">
        <f t="shared" si="12"/>
        <v>45474</v>
      </c>
      <c r="D185" s="1">
        <f t="shared" si="13"/>
        <v>45474</v>
      </c>
      <c r="E185" s="1" cm="1">
        <f t="array" ref="E185">DATE(YEAR(A185),_xlfn.IFS(MONTH(A185)&lt;=3,1,MONTH(A185)&lt;=6,4,MONTH(A185)&lt;=9,7,MONTH(A185)&lt;=12,10),1)</f>
        <v>45474</v>
      </c>
      <c r="F185" s="1">
        <f t="shared" si="14"/>
        <v>45292</v>
      </c>
      <c r="G185">
        <f t="shared" si="15"/>
        <v>7</v>
      </c>
      <c r="H185">
        <f t="shared" si="16"/>
        <v>2</v>
      </c>
      <c r="I185">
        <f t="shared" si="17"/>
        <v>27</v>
      </c>
      <c r="J185" t="str" cm="1">
        <f t="array" ref="J185">_xlfn.IFS(H185&lt;6,"Weekday",H185&gt;5,"Weekend")</f>
        <v>Weekday</v>
      </c>
    </row>
    <row r="186" spans="1:10" x14ac:dyDescent="0.25">
      <c r="A186" s="1">
        <v>45476</v>
      </c>
      <c r="B186" s="1" t="str" cm="1">
        <f t="array" ref="B186">_xlfn.IFS(H186=1,"Monday",H186=2,"Tuesday",H186=3,"Wednesday",H186=4,"Thursday",H186=5,"Friday",H186=6,"Saturday",H186=7,"Sunday")</f>
        <v>Wednesday</v>
      </c>
      <c r="C186" s="1">
        <f t="shared" si="12"/>
        <v>45474</v>
      </c>
      <c r="D186" s="1">
        <f t="shared" si="13"/>
        <v>45474</v>
      </c>
      <c r="E186" s="1" cm="1">
        <f t="array" ref="E186">DATE(YEAR(A186),_xlfn.IFS(MONTH(A186)&lt;=3,1,MONTH(A186)&lt;=6,4,MONTH(A186)&lt;=9,7,MONTH(A186)&lt;=12,10),1)</f>
        <v>45474</v>
      </c>
      <c r="F186" s="1">
        <f t="shared" si="14"/>
        <v>45292</v>
      </c>
      <c r="G186">
        <f t="shared" si="15"/>
        <v>7</v>
      </c>
      <c r="H186">
        <f t="shared" si="16"/>
        <v>3</v>
      </c>
      <c r="I186">
        <f t="shared" si="17"/>
        <v>27</v>
      </c>
      <c r="J186" t="str" cm="1">
        <f t="array" ref="J186">_xlfn.IFS(H186&lt;6,"Weekday",H186&gt;5,"Weekend")</f>
        <v>Weekday</v>
      </c>
    </row>
    <row r="187" spans="1:10" x14ac:dyDescent="0.25">
      <c r="A187" s="1">
        <v>45477</v>
      </c>
      <c r="B187" s="1" t="str" cm="1">
        <f t="array" ref="B187">_xlfn.IFS(H187=1,"Monday",H187=2,"Tuesday",H187=3,"Wednesday",H187=4,"Thursday",H187=5,"Friday",H187=6,"Saturday",H187=7,"Sunday")</f>
        <v>Thursday</v>
      </c>
      <c r="C187" s="1">
        <f t="shared" si="12"/>
        <v>45474</v>
      </c>
      <c r="D187" s="1">
        <f t="shared" si="13"/>
        <v>45474</v>
      </c>
      <c r="E187" s="1" cm="1">
        <f t="array" ref="E187">DATE(YEAR(A187),_xlfn.IFS(MONTH(A187)&lt;=3,1,MONTH(A187)&lt;=6,4,MONTH(A187)&lt;=9,7,MONTH(A187)&lt;=12,10),1)</f>
        <v>45474</v>
      </c>
      <c r="F187" s="1">
        <f t="shared" si="14"/>
        <v>45292</v>
      </c>
      <c r="G187">
        <f t="shared" si="15"/>
        <v>7</v>
      </c>
      <c r="H187">
        <f t="shared" si="16"/>
        <v>4</v>
      </c>
      <c r="I187">
        <f t="shared" si="17"/>
        <v>27</v>
      </c>
      <c r="J187" t="str" cm="1">
        <f t="array" ref="J187">_xlfn.IFS(H187&lt;6,"Weekday",H187&gt;5,"Weekend")</f>
        <v>Weekday</v>
      </c>
    </row>
    <row r="188" spans="1:10" x14ac:dyDescent="0.25">
      <c r="A188" s="1">
        <v>45478</v>
      </c>
      <c r="B188" s="1" t="str" cm="1">
        <f t="array" ref="B188">_xlfn.IFS(H188=1,"Monday",H188=2,"Tuesday",H188=3,"Wednesday",H188=4,"Thursday",H188=5,"Friday",H188=6,"Saturday",H188=7,"Sunday")</f>
        <v>Friday</v>
      </c>
      <c r="C188" s="1">
        <f t="shared" si="12"/>
        <v>45474</v>
      </c>
      <c r="D188" s="1">
        <f t="shared" si="13"/>
        <v>45474</v>
      </c>
      <c r="E188" s="1" cm="1">
        <f t="array" ref="E188">DATE(YEAR(A188),_xlfn.IFS(MONTH(A188)&lt;=3,1,MONTH(A188)&lt;=6,4,MONTH(A188)&lt;=9,7,MONTH(A188)&lt;=12,10),1)</f>
        <v>45474</v>
      </c>
      <c r="F188" s="1">
        <f t="shared" si="14"/>
        <v>45292</v>
      </c>
      <c r="G188">
        <f t="shared" si="15"/>
        <v>7</v>
      </c>
      <c r="H188">
        <f t="shared" si="16"/>
        <v>5</v>
      </c>
      <c r="I188">
        <f t="shared" si="17"/>
        <v>27</v>
      </c>
      <c r="J188" t="str" cm="1">
        <f t="array" ref="J188">_xlfn.IFS(H188&lt;6,"Weekday",H188&gt;5,"Weekend")</f>
        <v>Weekday</v>
      </c>
    </row>
    <row r="189" spans="1:10" x14ac:dyDescent="0.25">
      <c r="A189" s="1">
        <v>45479</v>
      </c>
      <c r="B189" s="1" t="str" cm="1">
        <f t="array" ref="B189">_xlfn.IFS(H189=1,"Monday",H189=2,"Tuesday",H189=3,"Wednesday",H189=4,"Thursday",H189=5,"Friday",H189=6,"Saturday",H189=7,"Sunday")</f>
        <v>Saturday</v>
      </c>
      <c r="C189" s="1">
        <f t="shared" si="12"/>
        <v>45474</v>
      </c>
      <c r="D189" s="1">
        <f t="shared" si="13"/>
        <v>45474</v>
      </c>
      <c r="E189" s="1" cm="1">
        <f t="array" ref="E189">DATE(YEAR(A189),_xlfn.IFS(MONTH(A189)&lt;=3,1,MONTH(A189)&lt;=6,4,MONTH(A189)&lt;=9,7,MONTH(A189)&lt;=12,10),1)</f>
        <v>45474</v>
      </c>
      <c r="F189" s="1">
        <f t="shared" si="14"/>
        <v>45292</v>
      </c>
      <c r="G189">
        <f t="shared" si="15"/>
        <v>7</v>
      </c>
      <c r="H189">
        <f t="shared" si="16"/>
        <v>6</v>
      </c>
      <c r="I189">
        <f t="shared" si="17"/>
        <v>27</v>
      </c>
      <c r="J189" t="str" cm="1">
        <f t="array" ref="J189">_xlfn.IFS(H189&lt;6,"Weekday",H189&gt;5,"Weekend")</f>
        <v>Weekend</v>
      </c>
    </row>
    <row r="190" spans="1:10" x14ac:dyDescent="0.25">
      <c r="A190" s="1">
        <v>45480</v>
      </c>
      <c r="B190" s="1" t="str" cm="1">
        <f t="array" ref="B190">_xlfn.IFS(H190=1,"Monday",H190=2,"Tuesday",H190=3,"Wednesday",H190=4,"Thursday",H190=5,"Friday",H190=6,"Saturday",H190=7,"Sunday")</f>
        <v>Sunday</v>
      </c>
      <c r="C190" s="1">
        <f t="shared" si="12"/>
        <v>45474</v>
      </c>
      <c r="D190" s="1">
        <f t="shared" si="13"/>
        <v>45474</v>
      </c>
      <c r="E190" s="1" cm="1">
        <f t="array" ref="E190">DATE(YEAR(A190),_xlfn.IFS(MONTH(A190)&lt;=3,1,MONTH(A190)&lt;=6,4,MONTH(A190)&lt;=9,7,MONTH(A190)&lt;=12,10),1)</f>
        <v>45474</v>
      </c>
      <c r="F190" s="1">
        <f t="shared" si="14"/>
        <v>45292</v>
      </c>
      <c r="G190">
        <f t="shared" si="15"/>
        <v>7</v>
      </c>
      <c r="H190">
        <f t="shared" si="16"/>
        <v>7</v>
      </c>
      <c r="I190">
        <f t="shared" si="17"/>
        <v>27</v>
      </c>
      <c r="J190" t="str" cm="1">
        <f t="array" ref="J190">_xlfn.IFS(H190&lt;6,"Weekday",H190&gt;5,"Weekend")</f>
        <v>Weekend</v>
      </c>
    </row>
    <row r="191" spans="1:10" x14ac:dyDescent="0.25">
      <c r="A191" s="1">
        <v>45481</v>
      </c>
      <c r="B191" s="1" t="str" cm="1">
        <f t="array" ref="B191">_xlfn.IFS(H191=1,"Monday",H191=2,"Tuesday",H191=3,"Wednesday",H191=4,"Thursday",H191=5,"Friday",H191=6,"Saturday",H191=7,"Sunday")</f>
        <v>Monday</v>
      </c>
      <c r="C191" s="1">
        <f t="shared" si="12"/>
        <v>45481</v>
      </c>
      <c r="D191" s="1">
        <f t="shared" si="13"/>
        <v>45474</v>
      </c>
      <c r="E191" s="1" cm="1">
        <f t="array" ref="E191">DATE(YEAR(A191),_xlfn.IFS(MONTH(A191)&lt;=3,1,MONTH(A191)&lt;=6,4,MONTH(A191)&lt;=9,7,MONTH(A191)&lt;=12,10),1)</f>
        <v>45474</v>
      </c>
      <c r="F191" s="1">
        <f t="shared" si="14"/>
        <v>45292</v>
      </c>
      <c r="G191">
        <f t="shared" si="15"/>
        <v>7</v>
      </c>
      <c r="H191">
        <f t="shared" si="16"/>
        <v>1</v>
      </c>
      <c r="I191">
        <f t="shared" si="17"/>
        <v>28</v>
      </c>
      <c r="J191" t="str" cm="1">
        <f t="array" ref="J191">_xlfn.IFS(H191&lt;6,"Weekday",H191&gt;5,"Weekend")</f>
        <v>Weekday</v>
      </c>
    </row>
    <row r="192" spans="1:10" x14ac:dyDescent="0.25">
      <c r="A192" s="1">
        <v>45482</v>
      </c>
      <c r="B192" s="1" t="str" cm="1">
        <f t="array" ref="B192">_xlfn.IFS(H192=1,"Monday",H192=2,"Tuesday",H192=3,"Wednesday",H192=4,"Thursday",H192=5,"Friday",H192=6,"Saturday",H192=7,"Sunday")</f>
        <v>Tuesday</v>
      </c>
      <c r="C192" s="1">
        <f t="shared" si="12"/>
        <v>45481</v>
      </c>
      <c r="D192" s="1">
        <f t="shared" si="13"/>
        <v>45474</v>
      </c>
      <c r="E192" s="1" cm="1">
        <f t="array" ref="E192">DATE(YEAR(A192),_xlfn.IFS(MONTH(A192)&lt;=3,1,MONTH(A192)&lt;=6,4,MONTH(A192)&lt;=9,7,MONTH(A192)&lt;=12,10),1)</f>
        <v>45474</v>
      </c>
      <c r="F192" s="1">
        <f t="shared" si="14"/>
        <v>45292</v>
      </c>
      <c r="G192">
        <f t="shared" si="15"/>
        <v>7</v>
      </c>
      <c r="H192">
        <f t="shared" si="16"/>
        <v>2</v>
      </c>
      <c r="I192">
        <f t="shared" si="17"/>
        <v>28</v>
      </c>
      <c r="J192" t="str" cm="1">
        <f t="array" ref="J192">_xlfn.IFS(H192&lt;6,"Weekday",H192&gt;5,"Weekend")</f>
        <v>Weekday</v>
      </c>
    </row>
    <row r="193" spans="1:10" x14ac:dyDescent="0.25">
      <c r="A193" s="1">
        <v>45483</v>
      </c>
      <c r="B193" s="1" t="str" cm="1">
        <f t="array" ref="B193">_xlfn.IFS(H193=1,"Monday",H193=2,"Tuesday",H193=3,"Wednesday",H193=4,"Thursday",H193=5,"Friday",H193=6,"Saturday",H193=7,"Sunday")</f>
        <v>Wednesday</v>
      </c>
      <c r="C193" s="1">
        <f t="shared" si="12"/>
        <v>45481</v>
      </c>
      <c r="D193" s="1">
        <f t="shared" si="13"/>
        <v>45474</v>
      </c>
      <c r="E193" s="1" cm="1">
        <f t="array" ref="E193">DATE(YEAR(A193),_xlfn.IFS(MONTH(A193)&lt;=3,1,MONTH(A193)&lt;=6,4,MONTH(A193)&lt;=9,7,MONTH(A193)&lt;=12,10),1)</f>
        <v>45474</v>
      </c>
      <c r="F193" s="1">
        <f t="shared" si="14"/>
        <v>45292</v>
      </c>
      <c r="G193">
        <f t="shared" si="15"/>
        <v>7</v>
      </c>
      <c r="H193">
        <f t="shared" si="16"/>
        <v>3</v>
      </c>
      <c r="I193">
        <f t="shared" si="17"/>
        <v>28</v>
      </c>
      <c r="J193" t="str" cm="1">
        <f t="array" ref="J193">_xlfn.IFS(H193&lt;6,"Weekday",H193&gt;5,"Weekend")</f>
        <v>Weekday</v>
      </c>
    </row>
    <row r="194" spans="1:10" x14ac:dyDescent="0.25">
      <c r="A194" s="1">
        <v>45484</v>
      </c>
      <c r="B194" s="1" t="str" cm="1">
        <f t="array" ref="B194">_xlfn.IFS(H194=1,"Monday",H194=2,"Tuesday",H194=3,"Wednesday",H194=4,"Thursday",H194=5,"Friday",H194=6,"Saturday",H194=7,"Sunday")</f>
        <v>Thursday</v>
      </c>
      <c r="C194" s="1">
        <f t="shared" ref="C194:C257" si="18">A194-WEEKDAY(A194,2)+1</f>
        <v>45481</v>
      </c>
      <c r="D194" s="1">
        <f t="shared" ref="D194:D257" si="19">DATE(YEAR(A194),MONTH(A194),1)</f>
        <v>45474</v>
      </c>
      <c r="E194" s="1" cm="1">
        <f t="array" ref="E194">DATE(YEAR(A194),_xlfn.IFS(MONTH(A194)&lt;=3,1,MONTH(A194)&lt;=6,4,MONTH(A194)&lt;=9,7,MONTH(A194)&lt;=12,10),1)</f>
        <v>45474</v>
      </c>
      <c r="F194" s="1">
        <f t="shared" ref="F194:F257" si="20">DATE(YEAR(A194),1,1)</f>
        <v>45292</v>
      </c>
      <c r="G194">
        <f t="shared" ref="G194:G257" si="21">MONTH(A194)</f>
        <v>7</v>
      </c>
      <c r="H194">
        <f t="shared" ref="H194:H257" si="22">WEEKDAY(A194,2)</f>
        <v>4</v>
      </c>
      <c r="I194">
        <f t="shared" ref="I194:I257" si="23">_xlfn.ISOWEEKNUM(A194)</f>
        <v>28</v>
      </c>
      <c r="J194" t="str" cm="1">
        <f t="array" ref="J194">_xlfn.IFS(H194&lt;6,"Weekday",H194&gt;5,"Weekend")</f>
        <v>Weekday</v>
      </c>
    </row>
    <row r="195" spans="1:10" x14ac:dyDescent="0.25">
      <c r="A195" s="1">
        <v>45485</v>
      </c>
      <c r="B195" s="1" t="str" cm="1">
        <f t="array" ref="B195">_xlfn.IFS(H195=1,"Monday",H195=2,"Tuesday",H195=3,"Wednesday",H195=4,"Thursday",H195=5,"Friday",H195=6,"Saturday",H195=7,"Sunday")</f>
        <v>Friday</v>
      </c>
      <c r="C195" s="1">
        <f t="shared" si="18"/>
        <v>45481</v>
      </c>
      <c r="D195" s="1">
        <f t="shared" si="19"/>
        <v>45474</v>
      </c>
      <c r="E195" s="1" cm="1">
        <f t="array" ref="E195">DATE(YEAR(A195),_xlfn.IFS(MONTH(A195)&lt;=3,1,MONTH(A195)&lt;=6,4,MONTH(A195)&lt;=9,7,MONTH(A195)&lt;=12,10),1)</f>
        <v>45474</v>
      </c>
      <c r="F195" s="1">
        <f t="shared" si="20"/>
        <v>45292</v>
      </c>
      <c r="G195">
        <f t="shared" si="21"/>
        <v>7</v>
      </c>
      <c r="H195">
        <f t="shared" si="22"/>
        <v>5</v>
      </c>
      <c r="I195">
        <f t="shared" si="23"/>
        <v>28</v>
      </c>
      <c r="J195" t="str" cm="1">
        <f t="array" ref="J195">_xlfn.IFS(H195&lt;6,"Weekday",H195&gt;5,"Weekend")</f>
        <v>Weekday</v>
      </c>
    </row>
    <row r="196" spans="1:10" x14ac:dyDescent="0.25">
      <c r="A196" s="1">
        <v>45486</v>
      </c>
      <c r="B196" s="1" t="str" cm="1">
        <f t="array" ref="B196">_xlfn.IFS(H196=1,"Monday",H196=2,"Tuesday",H196=3,"Wednesday",H196=4,"Thursday",H196=5,"Friday",H196=6,"Saturday",H196=7,"Sunday")</f>
        <v>Saturday</v>
      </c>
      <c r="C196" s="1">
        <f t="shared" si="18"/>
        <v>45481</v>
      </c>
      <c r="D196" s="1">
        <f t="shared" si="19"/>
        <v>45474</v>
      </c>
      <c r="E196" s="1" cm="1">
        <f t="array" ref="E196">DATE(YEAR(A196),_xlfn.IFS(MONTH(A196)&lt;=3,1,MONTH(A196)&lt;=6,4,MONTH(A196)&lt;=9,7,MONTH(A196)&lt;=12,10),1)</f>
        <v>45474</v>
      </c>
      <c r="F196" s="1">
        <f t="shared" si="20"/>
        <v>45292</v>
      </c>
      <c r="G196">
        <f t="shared" si="21"/>
        <v>7</v>
      </c>
      <c r="H196">
        <f t="shared" si="22"/>
        <v>6</v>
      </c>
      <c r="I196">
        <f t="shared" si="23"/>
        <v>28</v>
      </c>
      <c r="J196" t="str" cm="1">
        <f t="array" ref="J196">_xlfn.IFS(H196&lt;6,"Weekday",H196&gt;5,"Weekend")</f>
        <v>Weekend</v>
      </c>
    </row>
    <row r="197" spans="1:10" x14ac:dyDescent="0.25">
      <c r="A197" s="1">
        <v>45487</v>
      </c>
      <c r="B197" s="1" t="str" cm="1">
        <f t="array" ref="B197">_xlfn.IFS(H197=1,"Monday",H197=2,"Tuesday",H197=3,"Wednesday",H197=4,"Thursday",H197=5,"Friday",H197=6,"Saturday",H197=7,"Sunday")</f>
        <v>Sunday</v>
      </c>
      <c r="C197" s="1">
        <f t="shared" si="18"/>
        <v>45481</v>
      </c>
      <c r="D197" s="1">
        <f t="shared" si="19"/>
        <v>45474</v>
      </c>
      <c r="E197" s="1" cm="1">
        <f t="array" ref="E197">DATE(YEAR(A197),_xlfn.IFS(MONTH(A197)&lt;=3,1,MONTH(A197)&lt;=6,4,MONTH(A197)&lt;=9,7,MONTH(A197)&lt;=12,10),1)</f>
        <v>45474</v>
      </c>
      <c r="F197" s="1">
        <f t="shared" si="20"/>
        <v>45292</v>
      </c>
      <c r="G197">
        <f t="shared" si="21"/>
        <v>7</v>
      </c>
      <c r="H197">
        <f t="shared" si="22"/>
        <v>7</v>
      </c>
      <c r="I197">
        <f t="shared" si="23"/>
        <v>28</v>
      </c>
      <c r="J197" t="str" cm="1">
        <f t="array" ref="J197">_xlfn.IFS(H197&lt;6,"Weekday",H197&gt;5,"Weekend")</f>
        <v>Weekend</v>
      </c>
    </row>
    <row r="198" spans="1:10" x14ac:dyDescent="0.25">
      <c r="A198" s="1">
        <v>45488</v>
      </c>
      <c r="B198" s="1" t="str" cm="1">
        <f t="array" ref="B198">_xlfn.IFS(H198=1,"Monday",H198=2,"Tuesday",H198=3,"Wednesday",H198=4,"Thursday",H198=5,"Friday",H198=6,"Saturday",H198=7,"Sunday")</f>
        <v>Monday</v>
      </c>
      <c r="C198" s="1">
        <f t="shared" si="18"/>
        <v>45488</v>
      </c>
      <c r="D198" s="1">
        <f t="shared" si="19"/>
        <v>45474</v>
      </c>
      <c r="E198" s="1" cm="1">
        <f t="array" ref="E198">DATE(YEAR(A198),_xlfn.IFS(MONTH(A198)&lt;=3,1,MONTH(A198)&lt;=6,4,MONTH(A198)&lt;=9,7,MONTH(A198)&lt;=12,10),1)</f>
        <v>45474</v>
      </c>
      <c r="F198" s="1">
        <f t="shared" si="20"/>
        <v>45292</v>
      </c>
      <c r="G198">
        <f t="shared" si="21"/>
        <v>7</v>
      </c>
      <c r="H198">
        <f t="shared" si="22"/>
        <v>1</v>
      </c>
      <c r="I198">
        <f t="shared" si="23"/>
        <v>29</v>
      </c>
      <c r="J198" t="str" cm="1">
        <f t="array" ref="J198">_xlfn.IFS(H198&lt;6,"Weekday",H198&gt;5,"Weekend")</f>
        <v>Weekday</v>
      </c>
    </row>
    <row r="199" spans="1:10" x14ac:dyDescent="0.25">
      <c r="A199" s="1">
        <v>45489</v>
      </c>
      <c r="B199" s="1" t="str" cm="1">
        <f t="array" ref="B199">_xlfn.IFS(H199=1,"Monday",H199=2,"Tuesday",H199=3,"Wednesday",H199=4,"Thursday",H199=5,"Friday",H199=6,"Saturday",H199=7,"Sunday")</f>
        <v>Tuesday</v>
      </c>
      <c r="C199" s="1">
        <f t="shared" si="18"/>
        <v>45488</v>
      </c>
      <c r="D199" s="1">
        <f t="shared" si="19"/>
        <v>45474</v>
      </c>
      <c r="E199" s="1" cm="1">
        <f t="array" ref="E199">DATE(YEAR(A199),_xlfn.IFS(MONTH(A199)&lt;=3,1,MONTH(A199)&lt;=6,4,MONTH(A199)&lt;=9,7,MONTH(A199)&lt;=12,10),1)</f>
        <v>45474</v>
      </c>
      <c r="F199" s="1">
        <f t="shared" si="20"/>
        <v>45292</v>
      </c>
      <c r="G199">
        <f t="shared" si="21"/>
        <v>7</v>
      </c>
      <c r="H199">
        <f t="shared" si="22"/>
        <v>2</v>
      </c>
      <c r="I199">
        <f t="shared" si="23"/>
        <v>29</v>
      </c>
      <c r="J199" t="str" cm="1">
        <f t="array" ref="J199">_xlfn.IFS(H199&lt;6,"Weekday",H199&gt;5,"Weekend")</f>
        <v>Weekday</v>
      </c>
    </row>
    <row r="200" spans="1:10" x14ac:dyDescent="0.25">
      <c r="A200" s="1">
        <v>45490</v>
      </c>
      <c r="B200" s="1" t="str" cm="1">
        <f t="array" ref="B200">_xlfn.IFS(H200=1,"Monday",H200=2,"Tuesday",H200=3,"Wednesday",H200=4,"Thursday",H200=5,"Friday",H200=6,"Saturday",H200=7,"Sunday")</f>
        <v>Wednesday</v>
      </c>
      <c r="C200" s="1">
        <f t="shared" si="18"/>
        <v>45488</v>
      </c>
      <c r="D200" s="1">
        <f t="shared" si="19"/>
        <v>45474</v>
      </c>
      <c r="E200" s="1" cm="1">
        <f t="array" ref="E200">DATE(YEAR(A200),_xlfn.IFS(MONTH(A200)&lt;=3,1,MONTH(A200)&lt;=6,4,MONTH(A200)&lt;=9,7,MONTH(A200)&lt;=12,10),1)</f>
        <v>45474</v>
      </c>
      <c r="F200" s="1">
        <f t="shared" si="20"/>
        <v>45292</v>
      </c>
      <c r="G200">
        <f t="shared" si="21"/>
        <v>7</v>
      </c>
      <c r="H200">
        <f t="shared" si="22"/>
        <v>3</v>
      </c>
      <c r="I200">
        <f t="shared" si="23"/>
        <v>29</v>
      </c>
      <c r="J200" t="str" cm="1">
        <f t="array" ref="J200">_xlfn.IFS(H200&lt;6,"Weekday",H200&gt;5,"Weekend")</f>
        <v>Weekday</v>
      </c>
    </row>
    <row r="201" spans="1:10" x14ac:dyDescent="0.25">
      <c r="A201" s="1">
        <v>45491</v>
      </c>
      <c r="B201" s="1" t="str" cm="1">
        <f t="array" ref="B201">_xlfn.IFS(H201=1,"Monday",H201=2,"Tuesday",H201=3,"Wednesday",H201=4,"Thursday",H201=5,"Friday",H201=6,"Saturday",H201=7,"Sunday")</f>
        <v>Thursday</v>
      </c>
      <c r="C201" s="1">
        <f t="shared" si="18"/>
        <v>45488</v>
      </c>
      <c r="D201" s="1">
        <f t="shared" si="19"/>
        <v>45474</v>
      </c>
      <c r="E201" s="1" cm="1">
        <f t="array" ref="E201">DATE(YEAR(A201),_xlfn.IFS(MONTH(A201)&lt;=3,1,MONTH(A201)&lt;=6,4,MONTH(A201)&lt;=9,7,MONTH(A201)&lt;=12,10),1)</f>
        <v>45474</v>
      </c>
      <c r="F201" s="1">
        <f t="shared" si="20"/>
        <v>45292</v>
      </c>
      <c r="G201">
        <f t="shared" si="21"/>
        <v>7</v>
      </c>
      <c r="H201">
        <f t="shared" si="22"/>
        <v>4</v>
      </c>
      <c r="I201">
        <f t="shared" si="23"/>
        <v>29</v>
      </c>
      <c r="J201" t="str" cm="1">
        <f t="array" ref="J201">_xlfn.IFS(H201&lt;6,"Weekday",H201&gt;5,"Weekend")</f>
        <v>Weekday</v>
      </c>
    </row>
    <row r="202" spans="1:10" x14ac:dyDescent="0.25">
      <c r="A202" s="1">
        <v>45492</v>
      </c>
      <c r="B202" s="1" t="str" cm="1">
        <f t="array" ref="B202">_xlfn.IFS(H202=1,"Monday",H202=2,"Tuesday",H202=3,"Wednesday",H202=4,"Thursday",H202=5,"Friday",H202=6,"Saturday",H202=7,"Sunday")</f>
        <v>Friday</v>
      </c>
      <c r="C202" s="1">
        <f t="shared" si="18"/>
        <v>45488</v>
      </c>
      <c r="D202" s="1">
        <f t="shared" si="19"/>
        <v>45474</v>
      </c>
      <c r="E202" s="1" cm="1">
        <f t="array" ref="E202">DATE(YEAR(A202),_xlfn.IFS(MONTH(A202)&lt;=3,1,MONTH(A202)&lt;=6,4,MONTH(A202)&lt;=9,7,MONTH(A202)&lt;=12,10),1)</f>
        <v>45474</v>
      </c>
      <c r="F202" s="1">
        <f t="shared" si="20"/>
        <v>45292</v>
      </c>
      <c r="G202">
        <f t="shared" si="21"/>
        <v>7</v>
      </c>
      <c r="H202">
        <f t="shared" si="22"/>
        <v>5</v>
      </c>
      <c r="I202">
        <f t="shared" si="23"/>
        <v>29</v>
      </c>
      <c r="J202" t="str" cm="1">
        <f t="array" ref="J202">_xlfn.IFS(H202&lt;6,"Weekday",H202&gt;5,"Weekend")</f>
        <v>Weekday</v>
      </c>
    </row>
    <row r="203" spans="1:10" x14ac:dyDescent="0.25">
      <c r="A203" s="1">
        <v>45493</v>
      </c>
      <c r="B203" s="1" t="str" cm="1">
        <f t="array" ref="B203">_xlfn.IFS(H203=1,"Monday",H203=2,"Tuesday",H203=3,"Wednesday",H203=4,"Thursday",H203=5,"Friday",H203=6,"Saturday",H203=7,"Sunday")</f>
        <v>Saturday</v>
      </c>
      <c r="C203" s="1">
        <f t="shared" si="18"/>
        <v>45488</v>
      </c>
      <c r="D203" s="1">
        <f t="shared" si="19"/>
        <v>45474</v>
      </c>
      <c r="E203" s="1" cm="1">
        <f t="array" ref="E203">DATE(YEAR(A203),_xlfn.IFS(MONTH(A203)&lt;=3,1,MONTH(A203)&lt;=6,4,MONTH(A203)&lt;=9,7,MONTH(A203)&lt;=12,10),1)</f>
        <v>45474</v>
      </c>
      <c r="F203" s="1">
        <f t="shared" si="20"/>
        <v>45292</v>
      </c>
      <c r="G203">
        <f t="shared" si="21"/>
        <v>7</v>
      </c>
      <c r="H203">
        <f t="shared" si="22"/>
        <v>6</v>
      </c>
      <c r="I203">
        <f t="shared" si="23"/>
        <v>29</v>
      </c>
      <c r="J203" t="str" cm="1">
        <f t="array" ref="J203">_xlfn.IFS(H203&lt;6,"Weekday",H203&gt;5,"Weekend")</f>
        <v>Weekend</v>
      </c>
    </row>
    <row r="204" spans="1:10" x14ac:dyDescent="0.25">
      <c r="A204" s="1">
        <v>45494</v>
      </c>
      <c r="B204" s="1" t="str" cm="1">
        <f t="array" ref="B204">_xlfn.IFS(H204=1,"Monday",H204=2,"Tuesday",H204=3,"Wednesday",H204=4,"Thursday",H204=5,"Friday",H204=6,"Saturday",H204=7,"Sunday")</f>
        <v>Sunday</v>
      </c>
      <c r="C204" s="1">
        <f t="shared" si="18"/>
        <v>45488</v>
      </c>
      <c r="D204" s="1">
        <f t="shared" si="19"/>
        <v>45474</v>
      </c>
      <c r="E204" s="1" cm="1">
        <f t="array" ref="E204">DATE(YEAR(A204),_xlfn.IFS(MONTH(A204)&lt;=3,1,MONTH(A204)&lt;=6,4,MONTH(A204)&lt;=9,7,MONTH(A204)&lt;=12,10),1)</f>
        <v>45474</v>
      </c>
      <c r="F204" s="1">
        <f t="shared" si="20"/>
        <v>45292</v>
      </c>
      <c r="G204">
        <f t="shared" si="21"/>
        <v>7</v>
      </c>
      <c r="H204">
        <f t="shared" si="22"/>
        <v>7</v>
      </c>
      <c r="I204">
        <f t="shared" si="23"/>
        <v>29</v>
      </c>
      <c r="J204" t="str" cm="1">
        <f t="array" ref="J204">_xlfn.IFS(H204&lt;6,"Weekday",H204&gt;5,"Weekend")</f>
        <v>Weekend</v>
      </c>
    </row>
    <row r="205" spans="1:10" x14ac:dyDescent="0.25">
      <c r="A205" s="1">
        <v>45495</v>
      </c>
      <c r="B205" s="1" t="str" cm="1">
        <f t="array" ref="B205">_xlfn.IFS(H205=1,"Monday",H205=2,"Tuesday",H205=3,"Wednesday",H205=4,"Thursday",H205=5,"Friday",H205=6,"Saturday",H205=7,"Sunday")</f>
        <v>Monday</v>
      </c>
      <c r="C205" s="1">
        <f t="shared" si="18"/>
        <v>45495</v>
      </c>
      <c r="D205" s="1">
        <f t="shared" si="19"/>
        <v>45474</v>
      </c>
      <c r="E205" s="1" cm="1">
        <f t="array" ref="E205">DATE(YEAR(A205),_xlfn.IFS(MONTH(A205)&lt;=3,1,MONTH(A205)&lt;=6,4,MONTH(A205)&lt;=9,7,MONTH(A205)&lt;=12,10),1)</f>
        <v>45474</v>
      </c>
      <c r="F205" s="1">
        <f t="shared" si="20"/>
        <v>45292</v>
      </c>
      <c r="G205">
        <f t="shared" si="21"/>
        <v>7</v>
      </c>
      <c r="H205">
        <f t="shared" si="22"/>
        <v>1</v>
      </c>
      <c r="I205">
        <f t="shared" si="23"/>
        <v>30</v>
      </c>
      <c r="J205" t="str" cm="1">
        <f t="array" ref="J205">_xlfn.IFS(H205&lt;6,"Weekday",H205&gt;5,"Weekend")</f>
        <v>Weekday</v>
      </c>
    </row>
    <row r="206" spans="1:10" x14ac:dyDescent="0.25">
      <c r="A206" s="1">
        <v>45496</v>
      </c>
      <c r="B206" s="1" t="str" cm="1">
        <f t="array" ref="B206">_xlfn.IFS(H206=1,"Monday",H206=2,"Tuesday",H206=3,"Wednesday",H206=4,"Thursday",H206=5,"Friday",H206=6,"Saturday",H206=7,"Sunday")</f>
        <v>Tuesday</v>
      </c>
      <c r="C206" s="1">
        <f t="shared" si="18"/>
        <v>45495</v>
      </c>
      <c r="D206" s="1">
        <f t="shared" si="19"/>
        <v>45474</v>
      </c>
      <c r="E206" s="1" cm="1">
        <f t="array" ref="E206">DATE(YEAR(A206),_xlfn.IFS(MONTH(A206)&lt;=3,1,MONTH(A206)&lt;=6,4,MONTH(A206)&lt;=9,7,MONTH(A206)&lt;=12,10),1)</f>
        <v>45474</v>
      </c>
      <c r="F206" s="1">
        <f t="shared" si="20"/>
        <v>45292</v>
      </c>
      <c r="G206">
        <f t="shared" si="21"/>
        <v>7</v>
      </c>
      <c r="H206">
        <f t="shared" si="22"/>
        <v>2</v>
      </c>
      <c r="I206">
        <f t="shared" si="23"/>
        <v>30</v>
      </c>
      <c r="J206" t="str" cm="1">
        <f t="array" ref="J206">_xlfn.IFS(H206&lt;6,"Weekday",H206&gt;5,"Weekend")</f>
        <v>Weekday</v>
      </c>
    </row>
    <row r="207" spans="1:10" x14ac:dyDescent="0.25">
      <c r="A207" s="1">
        <v>45497</v>
      </c>
      <c r="B207" s="1" t="str" cm="1">
        <f t="array" ref="B207">_xlfn.IFS(H207=1,"Monday",H207=2,"Tuesday",H207=3,"Wednesday",H207=4,"Thursday",H207=5,"Friday",H207=6,"Saturday",H207=7,"Sunday")</f>
        <v>Wednesday</v>
      </c>
      <c r="C207" s="1">
        <f t="shared" si="18"/>
        <v>45495</v>
      </c>
      <c r="D207" s="1">
        <f t="shared" si="19"/>
        <v>45474</v>
      </c>
      <c r="E207" s="1" cm="1">
        <f t="array" ref="E207">DATE(YEAR(A207),_xlfn.IFS(MONTH(A207)&lt;=3,1,MONTH(A207)&lt;=6,4,MONTH(A207)&lt;=9,7,MONTH(A207)&lt;=12,10),1)</f>
        <v>45474</v>
      </c>
      <c r="F207" s="1">
        <f t="shared" si="20"/>
        <v>45292</v>
      </c>
      <c r="G207">
        <f t="shared" si="21"/>
        <v>7</v>
      </c>
      <c r="H207">
        <f t="shared" si="22"/>
        <v>3</v>
      </c>
      <c r="I207">
        <f t="shared" si="23"/>
        <v>30</v>
      </c>
      <c r="J207" t="str" cm="1">
        <f t="array" ref="J207">_xlfn.IFS(H207&lt;6,"Weekday",H207&gt;5,"Weekend")</f>
        <v>Weekday</v>
      </c>
    </row>
    <row r="208" spans="1:10" x14ac:dyDescent="0.25">
      <c r="A208" s="1">
        <v>45498</v>
      </c>
      <c r="B208" s="1" t="str" cm="1">
        <f t="array" ref="B208">_xlfn.IFS(H208=1,"Monday",H208=2,"Tuesday",H208=3,"Wednesday",H208=4,"Thursday",H208=5,"Friday",H208=6,"Saturday",H208=7,"Sunday")</f>
        <v>Thursday</v>
      </c>
      <c r="C208" s="1">
        <f t="shared" si="18"/>
        <v>45495</v>
      </c>
      <c r="D208" s="1">
        <f t="shared" si="19"/>
        <v>45474</v>
      </c>
      <c r="E208" s="1" cm="1">
        <f t="array" ref="E208">DATE(YEAR(A208),_xlfn.IFS(MONTH(A208)&lt;=3,1,MONTH(A208)&lt;=6,4,MONTH(A208)&lt;=9,7,MONTH(A208)&lt;=12,10),1)</f>
        <v>45474</v>
      </c>
      <c r="F208" s="1">
        <f t="shared" si="20"/>
        <v>45292</v>
      </c>
      <c r="G208">
        <f t="shared" si="21"/>
        <v>7</v>
      </c>
      <c r="H208">
        <f t="shared" si="22"/>
        <v>4</v>
      </c>
      <c r="I208">
        <f t="shared" si="23"/>
        <v>30</v>
      </c>
      <c r="J208" t="str" cm="1">
        <f t="array" ref="J208">_xlfn.IFS(H208&lt;6,"Weekday",H208&gt;5,"Weekend")</f>
        <v>Weekday</v>
      </c>
    </row>
    <row r="209" spans="1:10" x14ac:dyDescent="0.25">
      <c r="A209" s="1">
        <v>45499</v>
      </c>
      <c r="B209" s="1" t="str" cm="1">
        <f t="array" ref="B209">_xlfn.IFS(H209=1,"Monday",H209=2,"Tuesday",H209=3,"Wednesday",H209=4,"Thursday",H209=5,"Friday",H209=6,"Saturday",H209=7,"Sunday")</f>
        <v>Friday</v>
      </c>
      <c r="C209" s="1">
        <f t="shared" si="18"/>
        <v>45495</v>
      </c>
      <c r="D209" s="1">
        <f t="shared" si="19"/>
        <v>45474</v>
      </c>
      <c r="E209" s="1" cm="1">
        <f t="array" ref="E209">DATE(YEAR(A209),_xlfn.IFS(MONTH(A209)&lt;=3,1,MONTH(A209)&lt;=6,4,MONTH(A209)&lt;=9,7,MONTH(A209)&lt;=12,10),1)</f>
        <v>45474</v>
      </c>
      <c r="F209" s="1">
        <f t="shared" si="20"/>
        <v>45292</v>
      </c>
      <c r="G209">
        <f t="shared" si="21"/>
        <v>7</v>
      </c>
      <c r="H209">
        <f t="shared" si="22"/>
        <v>5</v>
      </c>
      <c r="I209">
        <f t="shared" si="23"/>
        <v>30</v>
      </c>
      <c r="J209" t="str" cm="1">
        <f t="array" ref="J209">_xlfn.IFS(H209&lt;6,"Weekday",H209&gt;5,"Weekend")</f>
        <v>Weekday</v>
      </c>
    </row>
    <row r="210" spans="1:10" x14ac:dyDescent="0.25">
      <c r="A210" s="1">
        <v>45500</v>
      </c>
      <c r="B210" s="1" t="str" cm="1">
        <f t="array" ref="B210">_xlfn.IFS(H210=1,"Monday",H210=2,"Tuesday",H210=3,"Wednesday",H210=4,"Thursday",H210=5,"Friday",H210=6,"Saturday",H210=7,"Sunday")</f>
        <v>Saturday</v>
      </c>
      <c r="C210" s="1">
        <f t="shared" si="18"/>
        <v>45495</v>
      </c>
      <c r="D210" s="1">
        <f t="shared" si="19"/>
        <v>45474</v>
      </c>
      <c r="E210" s="1" cm="1">
        <f t="array" ref="E210">DATE(YEAR(A210),_xlfn.IFS(MONTH(A210)&lt;=3,1,MONTH(A210)&lt;=6,4,MONTH(A210)&lt;=9,7,MONTH(A210)&lt;=12,10),1)</f>
        <v>45474</v>
      </c>
      <c r="F210" s="1">
        <f t="shared" si="20"/>
        <v>45292</v>
      </c>
      <c r="G210">
        <f t="shared" si="21"/>
        <v>7</v>
      </c>
      <c r="H210">
        <f t="shared" si="22"/>
        <v>6</v>
      </c>
      <c r="I210">
        <f t="shared" si="23"/>
        <v>30</v>
      </c>
      <c r="J210" t="str" cm="1">
        <f t="array" ref="J210">_xlfn.IFS(H210&lt;6,"Weekday",H210&gt;5,"Weekend")</f>
        <v>Weekend</v>
      </c>
    </row>
    <row r="211" spans="1:10" x14ac:dyDescent="0.25">
      <c r="A211" s="1">
        <v>45501</v>
      </c>
      <c r="B211" s="1" t="str" cm="1">
        <f t="array" ref="B211">_xlfn.IFS(H211=1,"Monday",H211=2,"Tuesday",H211=3,"Wednesday",H211=4,"Thursday",H211=5,"Friday",H211=6,"Saturday",H211=7,"Sunday")</f>
        <v>Sunday</v>
      </c>
      <c r="C211" s="1">
        <f t="shared" si="18"/>
        <v>45495</v>
      </c>
      <c r="D211" s="1">
        <f t="shared" si="19"/>
        <v>45474</v>
      </c>
      <c r="E211" s="1" cm="1">
        <f t="array" ref="E211">DATE(YEAR(A211),_xlfn.IFS(MONTH(A211)&lt;=3,1,MONTH(A211)&lt;=6,4,MONTH(A211)&lt;=9,7,MONTH(A211)&lt;=12,10),1)</f>
        <v>45474</v>
      </c>
      <c r="F211" s="1">
        <f t="shared" si="20"/>
        <v>45292</v>
      </c>
      <c r="G211">
        <f t="shared" si="21"/>
        <v>7</v>
      </c>
      <c r="H211">
        <f t="shared" si="22"/>
        <v>7</v>
      </c>
      <c r="I211">
        <f t="shared" si="23"/>
        <v>30</v>
      </c>
      <c r="J211" t="str" cm="1">
        <f t="array" ref="J211">_xlfn.IFS(H211&lt;6,"Weekday",H211&gt;5,"Weekend")</f>
        <v>Weekend</v>
      </c>
    </row>
    <row r="212" spans="1:10" x14ac:dyDescent="0.25">
      <c r="A212" s="1">
        <v>45502</v>
      </c>
      <c r="B212" s="1" t="str" cm="1">
        <f t="array" ref="B212">_xlfn.IFS(H212=1,"Monday",H212=2,"Tuesday",H212=3,"Wednesday",H212=4,"Thursday",H212=5,"Friday",H212=6,"Saturday",H212=7,"Sunday")</f>
        <v>Monday</v>
      </c>
      <c r="C212" s="1">
        <f t="shared" si="18"/>
        <v>45502</v>
      </c>
      <c r="D212" s="1">
        <f t="shared" si="19"/>
        <v>45474</v>
      </c>
      <c r="E212" s="1" cm="1">
        <f t="array" ref="E212">DATE(YEAR(A212),_xlfn.IFS(MONTH(A212)&lt;=3,1,MONTH(A212)&lt;=6,4,MONTH(A212)&lt;=9,7,MONTH(A212)&lt;=12,10),1)</f>
        <v>45474</v>
      </c>
      <c r="F212" s="1">
        <f t="shared" si="20"/>
        <v>45292</v>
      </c>
      <c r="G212">
        <f t="shared" si="21"/>
        <v>7</v>
      </c>
      <c r="H212">
        <f t="shared" si="22"/>
        <v>1</v>
      </c>
      <c r="I212">
        <f t="shared" si="23"/>
        <v>31</v>
      </c>
      <c r="J212" t="str" cm="1">
        <f t="array" ref="J212">_xlfn.IFS(H212&lt;6,"Weekday",H212&gt;5,"Weekend")</f>
        <v>Weekday</v>
      </c>
    </row>
    <row r="213" spans="1:10" x14ac:dyDescent="0.25">
      <c r="A213" s="1">
        <v>45503</v>
      </c>
      <c r="B213" s="1" t="str" cm="1">
        <f t="array" ref="B213">_xlfn.IFS(H213=1,"Monday",H213=2,"Tuesday",H213=3,"Wednesday",H213=4,"Thursday",H213=5,"Friday",H213=6,"Saturday",H213=7,"Sunday")</f>
        <v>Tuesday</v>
      </c>
      <c r="C213" s="1">
        <f t="shared" si="18"/>
        <v>45502</v>
      </c>
      <c r="D213" s="1">
        <f t="shared" si="19"/>
        <v>45474</v>
      </c>
      <c r="E213" s="1" cm="1">
        <f t="array" ref="E213">DATE(YEAR(A213),_xlfn.IFS(MONTH(A213)&lt;=3,1,MONTH(A213)&lt;=6,4,MONTH(A213)&lt;=9,7,MONTH(A213)&lt;=12,10),1)</f>
        <v>45474</v>
      </c>
      <c r="F213" s="1">
        <f t="shared" si="20"/>
        <v>45292</v>
      </c>
      <c r="G213">
        <f t="shared" si="21"/>
        <v>7</v>
      </c>
      <c r="H213">
        <f t="shared" si="22"/>
        <v>2</v>
      </c>
      <c r="I213">
        <f t="shared" si="23"/>
        <v>31</v>
      </c>
      <c r="J213" t="str" cm="1">
        <f t="array" ref="J213">_xlfn.IFS(H213&lt;6,"Weekday",H213&gt;5,"Weekend")</f>
        <v>Weekday</v>
      </c>
    </row>
    <row r="214" spans="1:10" x14ac:dyDescent="0.25">
      <c r="A214" s="1">
        <v>45504</v>
      </c>
      <c r="B214" s="1" t="str" cm="1">
        <f t="array" ref="B214">_xlfn.IFS(H214=1,"Monday",H214=2,"Tuesday",H214=3,"Wednesday",H214=4,"Thursday",H214=5,"Friday",H214=6,"Saturday",H214=7,"Sunday")</f>
        <v>Wednesday</v>
      </c>
      <c r="C214" s="1">
        <f t="shared" si="18"/>
        <v>45502</v>
      </c>
      <c r="D214" s="1">
        <f t="shared" si="19"/>
        <v>45474</v>
      </c>
      <c r="E214" s="1" cm="1">
        <f t="array" ref="E214">DATE(YEAR(A214),_xlfn.IFS(MONTH(A214)&lt;=3,1,MONTH(A214)&lt;=6,4,MONTH(A214)&lt;=9,7,MONTH(A214)&lt;=12,10),1)</f>
        <v>45474</v>
      </c>
      <c r="F214" s="1">
        <f t="shared" si="20"/>
        <v>45292</v>
      </c>
      <c r="G214">
        <f t="shared" si="21"/>
        <v>7</v>
      </c>
      <c r="H214">
        <f t="shared" si="22"/>
        <v>3</v>
      </c>
      <c r="I214">
        <f t="shared" si="23"/>
        <v>31</v>
      </c>
      <c r="J214" t="str" cm="1">
        <f t="array" ref="J214">_xlfn.IFS(H214&lt;6,"Weekday",H214&gt;5,"Weekend")</f>
        <v>Weekday</v>
      </c>
    </row>
    <row r="215" spans="1:10" x14ac:dyDescent="0.25">
      <c r="A215" s="1">
        <v>45505</v>
      </c>
      <c r="B215" s="1" t="str" cm="1">
        <f t="array" ref="B215">_xlfn.IFS(H215=1,"Monday",H215=2,"Tuesday",H215=3,"Wednesday",H215=4,"Thursday",H215=5,"Friday",H215=6,"Saturday",H215=7,"Sunday")</f>
        <v>Thursday</v>
      </c>
      <c r="C215" s="1">
        <f t="shared" si="18"/>
        <v>45502</v>
      </c>
      <c r="D215" s="1">
        <f t="shared" si="19"/>
        <v>45505</v>
      </c>
      <c r="E215" s="1" cm="1">
        <f t="array" ref="E215">DATE(YEAR(A215),_xlfn.IFS(MONTH(A215)&lt;=3,1,MONTH(A215)&lt;=6,4,MONTH(A215)&lt;=9,7,MONTH(A215)&lt;=12,10),1)</f>
        <v>45474</v>
      </c>
      <c r="F215" s="1">
        <f t="shared" si="20"/>
        <v>45292</v>
      </c>
      <c r="G215">
        <f t="shared" si="21"/>
        <v>8</v>
      </c>
      <c r="H215">
        <f t="shared" si="22"/>
        <v>4</v>
      </c>
      <c r="I215">
        <f t="shared" si="23"/>
        <v>31</v>
      </c>
      <c r="J215" t="str" cm="1">
        <f t="array" ref="J215">_xlfn.IFS(H215&lt;6,"Weekday",H215&gt;5,"Weekend")</f>
        <v>Weekday</v>
      </c>
    </row>
    <row r="216" spans="1:10" x14ac:dyDescent="0.25">
      <c r="A216" s="1">
        <v>45506</v>
      </c>
      <c r="B216" s="1" t="str" cm="1">
        <f t="array" ref="B216">_xlfn.IFS(H216=1,"Monday",H216=2,"Tuesday",H216=3,"Wednesday",H216=4,"Thursday",H216=5,"Friday",H216=6,"Saturday",H216=7,"Sunday")</f>
        <v>Friday</v>
      </c>
      <c r="C216" s="1">
        <f t="shared" si="18"/>
        <v>45502</v>
      </c>
      <c r="D216" s="1">
        <f t="shared" si="19"/>
        <v>45505</v>
      </c>
      <c r="E216" s="1" cm="1">
        <f t="array" ref="E216">DATE(YEAR(A216),_xlfn.IFS(MONTH(A216)&lt;=3,1,MONTH(A216)&lt;=6,4,MONTH(A216)&lt;=9,7,MONTH(A216)&lt;=12,10),1)</f>
        <v>45474</v>
      </c>
      <c r="F216" s="1">
        <f t="shared" si="20"/>
        <v>45292</v>
      </c>
      <c r="G216">
        <f t="shared" si="21"/>
        <v>8</v>
      </c>
      <c r="H216">
        <f t="shared" si="22"/>
        <v>5</v>
      </c>
      <c r="I216">
        <f t="shared" si="23"/>
        <v>31</v>
      </c>
      <c r="J216" t="str" cm="1">
        <f t="array" ref="J216">_xlfn.IFS(H216&lt;6,"Weekday",H216&gt;5,"Weekend")</f>
        <v>Weekday</v>
      </c>
    </row>
    <row r="217" spans="1:10" x14ac:dyDescent="0.25">
      <c r="A217" s="1">
        <v>45507</v>
      </c>
      <c r="B217" s="1" t="str" cm="1">
        <f t="array" ref="B217">_xlfn.IFS(H217=1,"Monday",H217=2,"Tuesday",H217=3,"Wednesday",H217=4,"Thursday",H217=5,"Friday",H217=6,"Saturday",H217=7,"Sunday")</f>
        <v>Saturday</v>
      </c>
      <c r="C217" s="1">
        <f t="shared" si="18"/>
        <v>45502</v>
      </c>
      <c r="D217" s="1">
        <f t="shared" si="19"/>
        <v>45505</v>
      </c>
      <c r="E217" s="1" cm="1">
        <f t="array" ref="E217">DATE(YEAR(A217),_xlfn.IFS(MONTH(A217)&lt;=3,1,MONTH(A217)&lt;=6,4,MONTH(A217)&lt;=9,7,MONTH(A217)&lt;=12,10),1)</f>
        <v>45474</v>
      </c>
      <c r="F217" s="1">
        <f t="shared" si="20"/>
        <v>45292</v>
      </c>
      <c r="G217">
        <f t="shared" si="21"/>
        <v>8</v>
      </c>
      <c r="H217">
        <f t="shared" si="22"/>
        <v>6</v>
      </c>
      <c r="I217">
        <f t="shared" si="23"/>
        <v>31</v>
      </c>
      <c r="J217" t="str" cm="1">
        <f t="array" ref="J217">_xlfn.IFS(H217&lt;6,"Weekday",H217&gt;5,"Weekend")</f>
        <v>Weekend</v>
      </c>
    </row>
    <row r="218" spans="1:10" x14ac:dyDescent="0.25">
      <c r="A218" s="1">
        <v>45508</v>
      </c>
      <c r="B218" s="1" t="str" cm="1">
        <f t="array" ref="B218">_xlfn.IFS(H218=1,"Monday",H218=2,"Tuesday",H218=3,"Wednesday",H218=4,"Thursday",H218=5,"Friday",H218=6,"Saturday",H218=7,"Sunday")</f>
        <v>Sunday</v>
      </c>
      <c r="C218" s="1">
        <f t="shared" si="18"/>
        <v>45502</v>
      </c>
      <c r="D218" s="1">
        <f t="shared" si="19"/>
        <v>45505</v>
      </c>
      <c r="E218" s="1" cm="1">
        <f t="array" ref="E218">DATE(YEAR(A218),_xlfn.IFS(MONTH(A218)&lt;=3,1,MONTH(A218)&lt;=6,4,MONTH(A218)&lt;=9,7,MONTH(A218)&lt;=12,10),1)</f>
        <v>45474</v>
      </c>
      <c r="F218" s="1">
        <f t="shared" si="20"/>
        <v>45292</v>
      </c>
      <c r="G218">
        <f t="shared" si="21"/>
        <v>8</v>
      </c>
      <c r="H218">
        <f t="shared" si="22"/>
        <v>7</v>
      </c>
      <c r="I218">
        <f t="shared" si="23"/>
        <v>31</v>
      </c>
      <c r="J218" t="str" cm="1">
        <f t="array" ref="J218">_xlfn.IFS(H218&lt;6,"Weekday",H218&gt;5,"Weekend")</f>
        <v>Weekend</v>
      </c>
    </row>
    <row r="219" spans="1:10" x14ac:dyDescent="0.25">
      <c r="A219" s="1">
        <v>45509</v>
      </c>
      <c r="B219" s="1" t="str" cm="1">
        <f t="array" ref="B219">_xlfn.IFS(H219=1,"Monday",H219=2,"Tuesday",H219=3,"Wednesday",H219=4,"Thursday",H219=5,"Friday",H219=6,"Saturday",H219=7,"Sunday")</f>
        <v>Monday</v>
      </c>
      <c r="C219" s="1">
        <f t="shared" si="18"/>
        <v>45509</v>
      </c>
      <c r="D219" s="1">
        <f t="shared" si="19"/>
        <v>45505</v>
      </c>
      <c r="E219" s="1" cm="1">
        <f t="array" ref="E219">DATE(YEAR(A219),_xlfn.IFS(MONTH(A219)&lt;=3,1,MONTH(A219)&lt;=6,4,MONTH(A219)&lt;=9,7,MONTH(A219)&lt;=12,10),1)</f>
        <v>45474</v>
      </c>
      <c r="F219" s="1">
        <f t="shared" si="20"/>
        <v>45292</v>
      </c>
      <c r="G219">
        <f t="shared" si="21"/>
        <v>8</v>
      </c>
      <c r="H219">
        <f t="shared" si="22"/>
        <v>1</v>
      </c>
      <c r="I219">
        <f t="shared" si="23"/>
        <v>32</v>
      </c>
      <c r="J219" t="str" cm="1">
        <f t="array" ref="J219">_xlfn.IFS(H219&lt;6,"Weekday",H219&gt;5,"Weekend")</f>
        <v>Weekday</v>
      </c>
    </row>
    <row r="220" spans="1:10" x14ac:dyDescent="0.25">
      <c r="A220" s="1">
        <v>45510</v>
      </c>
      <c r="B220" s="1" t="str" cm="1">
        <f t="array" ref="B220">_xlfn.IFS(H220=1,"Monday",H220=2,"Tuesday",H220=3,"Wednesday",H220=4,"Thursday",H220=5,"Friday",H220=6,"Saturday",H220=7,"Sunday")</f>
        <v>Tuesday</v>
      </c>
      <c r="C220" s="1">
        <f t="shared" si="18"/>
        <v>45509</v>
      </c>
      <c r="D220" s="1">
        <f t="shared" si="19"/>
        <v>45505</v>
      </c>
      <c r="E220" s="1" cm="1">
        <f t="array" ref="E220">DATE(YEAR(A220),_xlfn.IFS(MONTH(A220)&lt;=3,1,MONTH(A220)&lt;=6,4,MONTH(A220)&lt;=9,7,MONTH(A220)&lt;=12,10),1)</f>
        <v>45474</v>
      </c>
      <c r="F220" s="1">
        <f t="shared" si="20"/>
        <v>45292</v>
      </c>
      <c r="G220">
        <f t="shared" si="21"/>
        <v>8</v>
      </c>
      <c r="H220">
        <f t="shared" si="22"/>
        <v>2</v>
      </c>
      <c r="I220">
        <f t="shared" si="23"/>
        <v>32</v>
      </c>
      <c r="J220" t="str" cm="1">
        <f t="array" ref="J220">_xlfn.IFS(H220&lt;6,"Weekday",H220&gt;5,"Weekend")</f>
        <v>Weekday</v>
      </c>
    </row>
    <row r="221" spans="1:10" x14ac:dyDescent="0.25">
      <c r="A221" s="1">
        <v>45511</v>
      </c>
      <c r="B221" s="1" t="str" cm="1">
        <f t="array" ref="B221">_xlfn.IFS(H221=1,"Monday",H221=2,"Tuesday",H221=3,"Wednesday",H221=4,"Thursday",H221=5,"Friday",H221=6,"Saturday",H221=7,"Sunday")</f>
        <v>Wednesday</v>
      </c>
      <c r="C221" s="1">
        <f t="shared" si="18"/>
        <v>45509</v>
      </c>
      <c r="D221" s="1">
        <f t="shared" si="19"/>
        <v>45505</v>
      </c>
      <c r="E221" s="1" cm="1">
        <f t="array" ref="E221">DATE(YEAR(A221),_xlfn.IFS(MONTH(A221)&lt;=3,1,MONTH(A221)&lt;=6,4,MONTH(A221)&lt;=9,7,MONTH(A221)&lt;=12,10),1)</f>
        <v>45474</v>
      </c>
      <c r="F221" s="1">
        <f t="shared" si="20"/>
        <v>45292</v>
      </c>
      <c r="G221">
        <f t="shared" si="21"/>
        <v>8</v>
      </c>
      <c r="H221">
        <f t="shared" si="22"/>
        <v>3</v>
      </c>
      <c r="I221">
        <f t="shared" si="23"/>
        <v>32</v>
      </c>
      <c r="J221" t="str" cm="1">
        <f t="array" ref="J221">_xlfn.IFS(H221&lt;6,"Weekday",H221&gt;5,"Weekend")</f>
        <v>Weekday</v>
      </c>
    </row>
    <row r="222" spans="1:10" x14ac:dyDescent="0.25">
      <c r="A222" s="1">
        <v>45512</v>
      </c>
      <c r="B222" s="1" t="str" cm="1">
        <f t="array" ref="B222">_xlfn.IFS(H222=1,"Monday",H222=2,"Tuesday",H222=3,"Wednesday",H222=4,"Thursday",H222=5,"Friday",H222=6,"Saturday",H222=7,"Sunday")</f>
        <v>Thursday</v>
      </c>
      <c r="C222" s="1">
        <f t="shared" si="18"/>
        <v>45509</v>
      </c>
      <c r="D222" s="1">
        <f t="shared" si="19"/>
        <v>45505</v>
      </c>
      <c r="E222" s="1" cm="1">
        <f t="array" ref="E222">DATE(YEAR(A222),_xlfn.IFS(MONTH(A222)&lt;=3,1,MONTH(A222)&lt;=6,4,MONTH(A222)&lt;=9,7,MONTH(A222)&lt;=12,10),1)</f>
        <v>45474</v>
      </c>
      <c r="F222" s="1">
        <f t="shared" si="20"/>
        <v>45292</v>
      </c>
      <c r="G222">
        <f t="shared" si="21"/>
        <v>8</v>
      </c>
      <c r="H222">
        <f t="shared" si="22"/>
        <v>4</v>
      </c>
      <c r="I222">
        <f t="shared" si="23"/>
        <v>32</v>
      </c>
      <c r="J222" t="str" cm="1">
        <f t="array" ref="J222">_xlfn.IFS(H222&lt;6,"Weekday",H222&gt;5,"Weekend")</f>
        <v>Weekday</v>
      </c>
    </row>
    <row r="223" spans="1:10" x14ac:dyDescent="0.25">
      <c r="A223" s="1">
        <v>45513</v>
      </c>
      <c r="B223" s="1" t="str" cm="1">
        <f t="array" ref="B223">_xlfn.IFS(H223=1,"Monday",H223=2,"Tuesday",H223=3,"Wednesday",H223=4,"Thursday",H223=5,"Friday",H223=6,"Saturday",H223=7,"Sunday")</f>
        <v>Friday</v>
      </c>
      <c r="C223" s="1">
        <f t="shared" si="18"/>
        <v>45509</v>
      </c>
      <c r="D223" s="1">
        <f t="shared" si="19"/>
        <v>45505</v>
      </c>
      <c r="E223" s="1" cm="1">
        <f t="array" ref="E223">DATE(YEAR(A223),_xlfn.IFS(MONTH(A223)&lt;=3,1,MONTH(A223)&lt;=6,4,MONTH(A223)&lt;=9,7,MONTH(A223)&lt;=12,10),1)</f>
        <v>45474</v>
      </c>
      <c r="F223" s="1">
        <f t="shared" si="20"/>
        <v>45292</v>
      </c>
      <c r="G223">
        <f t="shared" si="21"/>
        <v>8</v>
      </c>
      <c r="H223">
        <f t="shared" si="22"/>
        <v>5</v>
      </c>
      <c r="I223">
        <f t="shared" si="23"/>
        <v>32</v>
      </c>
      <c r="J223" t="str" cm="1">
        <f t="array" ref="J223">_xlfn.IFS(H223&lt;6,"Weekday",H223&gt;5,"Weekend")</f>
        <v>Weekday</v>
      </c>
    </row>
    <row r="224" spans="1:10" x14ac:dyDescent="0.25">
      <c r="A224" s="1">
        <v>45514</v>
      </c>
      <c r="B224" s="1" t="str" cm="1">
        <f t="array" ref="B224">_xlfn.IFS(H224=1,"Monday",H224=2,"Tuesday",H224=3,"Wednesday",H224=4,"Thursday",H224=5,"Friday",H224=6,"Saturday",H224=7,"Sunday")</f>
        <v>Saturday</v>
      </c>
      <c r="C224" s="1">
        <f t="shared" si="18"/>
        <v>45509</v>
      </c>
      <c r="D224" s="1">
        <f t="shared" si="19"/>
        <v>45505</v>
      </c>
      <c r="E224" s="1" cm="1">
        <f t="array" ref="E224">DATE(YEAR(A224),_xlfn.IFS(MONTH(A224)&lt;=3,1,MONTH(A224)&lt;=6,4,MONTH(A224)&lt;=9,7,MONTH(A224)&lt;=12,10),1)</f>
        <v>45474</v>
      </c>
      <c r="F224" s="1">
        <f t="shared" si="20"/>
        <v>45292</v>
      </c>
      <c r="G224">
        <f t="shared" si="21"/>
        <v>8</v>
      </c>
      <c r="H224">
        <f t="shared" si="22"/>
        <v>6</v>
      </c>
      <c r="I224">
        <f t="shared" si="23"/>
        <v>32</v>
      </c>
      <c r="J224" t="str" cm="1">
        <f t="array" ref="J224">_xlfn.IFS(H224&lt;6,"Weekday",H224&gt;5,"Weekend")</f>
        <v>Weekend</v>
      </c>
    </row>
    <row r="225" spans="1:10" x14ac:dyDescent="0.25">
      <c r="A225" s="1">
        <v>45515</v>
      </c>
      <c r="B225" s="1" t="str" cm="1">
        <f t="array" ref="B225">_xlfn.IFS(H225=1,"Monday",H225=2,"Tuesday",H225=3,"Wednesday",H225=4,"Thursday",H225=5,"Friday",H225=6,"Saturday",H225=7,"Sunday")</f>
        <v>Sunday</v>
      </c>
      <c r="C225" s="1">
        <f t="shared" si="18"/>
        <v>45509</v>
      </c>
      <c r="D225" s="1">
        <f t="shared" si="19"/>
        <v>45505</v>
      </c>
      <c r="E225" s="1" cm="1">
        <f t="array" ref="E225">DATE(YEAR(A225),_xlfn.IFS(MONTH(A225)&lt;=3,1,MONTH(A225)&lt;=6,4,MONTH(A225)&lt;=9,7,MONTH(A225)&lt;=12,10),1)</f>
        <v>45474</v>
      </c>
      <c r="F225" s="1">
        <f t="shared" si="20"/>
        <v>45292</v>
      </c>
      <c r="G225">
        <f t="shared" si="21"/>
        <v>8</v>
      </c>
      <c r="H225">
        <f t="shared" si="22"/>
        <v>7</v>
      </c>
      <c r="I225">
        <f t="shared" si="23"/>
        <v>32</v>
      </c>
      <c r="J225" t="str" cm="1">
        <f t="array" ref="J225">_xlfn.IFS(H225&lt;6,"Weekday",H225&gt;5,"Weekend")</f>
        <v>Weekend</v>
      </c>
    </row>
    <row r="226" spans="1:10" x14ac:dyDescent="0.25">
      <c r="A226" s="1">
        <v>45516</v>
      </c>
      <c r="B226" s="1" t="str" cm="1">
        <f t="array" ref="B226">_xlfn.IFS(H226=1,"Monday",H226=2,"Tuesday",H226=3,"Wednesday",H226=4,"Thursday",H226=5,"Friday",H226=6,"Saturday",H226=7,"Sunday")</f>
        <v>Monday</v>
      </c>
      <c r="C226" s="1">
        <f t="shared" si="18"/>
        <v>45516</v>
      </c>
      <c r="D226" s="1">
        <f t="shared" si="19"/>
        <v>45505</v>
      </c>
      <c r="E226" s="1" cm="1">
        <f t="array" ref="E226">DATE(YEAR(A226),_xlfn.IFS(MONTH(A226)&lt;=3,1,MONTH(A226)&lt;=6,4,MONTH(A226)&lt;=9,7,MONTH(A226)&lt;=12,10),1)</f>
        <v>45474</v>
      </c>
      <c r="F226" s="1">
        <f t="shared" si="20"/>
        <v>45292</v>
      </c>
      <c r="G226">
        <f t="shared" si="21"/>
        <v>8</v>
      </c>
      <c r="H226">
        <f t="shared" si="22"/>
        <v>1</v>
      </c>
      <c r="I226">
        <f t="shared" si="23"/>
        <v>33</v>
      </c>
      <c r="J226" t="str" cm="1">
        <f t="array" ref="J226">_xlfn.IFS(H226&lt;6,"Weekday",H226&gt;5,"Weekend")</f>
        <v>Weekday</v>
      </c>
    </row>
    <row r="227" spans="1:10" x14ac:dyDescent="0.25">
      <c r="A227" s="1">
        <v>45517</v>
      </c>
      <c r="B227" s="1" t="str" cm="1">
        <f t="array" ref="B227">_xlfn.IFS(H227=1,"Monday",H227=2,"Tuesday",H227=3,"Wednesday",H227=4,"Thursday",H227=5,"Friday",H227=6,"Saturday",H227=7,"Sunday")</f>
        <v>Tuesday</v>
      </c>
      <c r="C227" s="1">
        <f t="shared" si="18"/>
        <v>45516</v>
      </c>
      <c r="D227" s="1">
        <f t="shared" si="19"/>
        <v>45505</v>
      </c>
      <c r="E227" s="1" cm="1">
        <f t="array" ref="E227">DATE(YEAR(A227),_xlfn.IFS(MONTH(A227)&lt;=3,1,MONTH(A227)&lt;=6,4,MONTH(A227)&lt;=9,7,MONTH(A227)&lt;=12,10),1)</f>
        <v>45474</v>
      </c>
      <c r="F227" s="1">
        <f t="shared" si="20"/>
        <v>45292</v>
      </c>
      <c r="G227">
        <f t="shared" si="21"/>
        <v>8</v>
      </c>
      <c r="H227">
        <f t="shared" si="22"/>
        <v>2</v>
      </c>
      <c r="I227">
        <f t="shared" si="23"/>
        <v>33</v>
      </c>
      <c r="J227" t="str" cm="1">
        <f t="array" ref="J227">_xlfn.IFS(H227&lt;6,"Weekday",H227&gt;5,"Weekend")</f>
        <v>Weekday</v>
      </c>
    </row>
    <row r="228" spans="1:10" x14ac:dyDescent="0.25">
      <c r="A228" s="1">
        <v>45518</v>
      </c>
      <c r="B228" s="1" t="str" cm="1">
        <f t="array" ref="B228">_xlfn.IFS(H228=1,"Monday",H228=2,"Tuesday",H228=3,"Wednesday",H228=4,"Thursday",H228=5,"Friday",H228=6,"Saturday",H228=7,"Sunday")</f>
        <v>Wednesday</v>
      </c>
      <c r="C228" s="1">
        <f t="shared" si="18"/>
        <v>45516</v>
      </c>
      <c r="D228" s="1">
        <f t="shared" si="19"/>
        <v>45505</v>
      </c>
      <c r="E228" s="1" cm="1">
        <f t="array" ref="E228">DATE(YEAR(A228),_xlfn.IFS(MONTH(A228)&lt;=3,1,MONTH(A228)&lt;=6,4,MONTH(A228)&lt;=9,7,MONTH(A228)&lt;=12,10),1)</f>
        <v>45474</v>
      </c>
      <c r="F228" s="1">
        <f t="shared" si="20"/>
        <v>45292</v>
      </c>
      <c r="G228">
        <f t="shared" si="21"/>
        <v>8</v>
      </c>
      <c r="H228">
        <f t="shared" si="22"/>
        <v>3</v>
      </c>
      <c r="I228">
        <f t="shared" si="23"/>
        <v>33</v>
      </c>
      <c r="J228" t="str" cm="1">
        <f t="array" ref="J228">_xlfn.IFS(H228&lt;6,"Weekday",H228&gt;5,"Weekend")</f>
        <v>Weekday</v>
      </c>
    </row>
    <row r="229" spans="1:10" x14ac:dyDescent="0.25">
      <c r="A229" s="1">
        <v>45519</v>
      </c>
      <c r="B229" s="1" t="str" cm="1">
        <f t="array" ref="B229">_xlfn.IFS(H229=1,"Monday",H229=2,"Tuesday",H229=3,"Wednesday",H229=4,"Thursday",H229=5,"Friday",H229=6,"Saturday",H229=7,"Sunday")</f>
        <v>Thursday</v>
      </c>
      <c r="C229" s="1">
        <f t="shared" si="18"/>
        <v>45516</v>
      </c>
      <c r="D229" s="1">
        <f t="shared" si="19"/>
        <v>45505</v>
      </c>
      <c r="E229" s="1" cm="1">
        <f t="array" ref="E229">DATE(YEAR(A229),_xlfn.IFS(MONTH(A229)&lt;=3,1,MONTH(A229)&lt;=6,4,MONTH(A229)&lt;=9,7,MONTH(A229)&lt;=12,10),1)</f>
        <v>45474</v>
      </c>
      <c r="F229" s="1">
        <f t="shared" si="20"/>
        <v>45292</v>
      </c>
      <c r="G229">
        <f t="shared" si="21"/>
        <v>8</v>
      </c>
      <c r="H229">
        <f t="shared" si="22"/>
        <v>4</v>
      </c>
      <c r="I229">
        <f t="shared" si="23"/>
        <v>33</v>
      </c>
      <c r="J229" t="str" cm="1">
        <f t="array" ref="J229">_xlfn.IFS(H229&lt;6,"Weekday",H229&gt;5,"Weekend")</f>
        <v>Weekday</v>
      </c>
    </row>
    <row r="230" spans="1:10" x14ac:dyDescent="0.25">
      <c r="A230" s="1">
        <v>45520</v>
      </c>
      <c r="B230" s="1" t="str" cm="1">
        <f t="array" ref="B230">_xlfn.IFS(H230=1,"Monday",H230=2,"Tuesday",H230=3,"Wednesday",H230=4,"Thursday",H230=5,"Friday",H230=6,"Saturday",H230=7,"Sunday")</f>
        <v>Friday</v>
      </c>
      <c r="C230" s="1">
        <f t="shared" si="18"/>
        <v>45516</v>
      </c>
      <c r="D230" s="1">
        <f t="shared" si="19"/>
        <v>45505</v>
      </c>
      <c r="E230" s="1" cm="1">
        <f t="array" ref="E230">DATE(YEAR(A230),_xlfn.IFS(MONTH(A230)&lt;=3,1,MONTH(A230)&lt;=6,4,MONTH(A230)&lt;=9,7,MONTH(A230)&lt;=12,10),1)</f>
        <v>45474</v>
      </c>
      <c r="F230" s="1">
        <f t="shared" si="20"/>
        <v>45292</v>
      </c>
      <c r="G230">
        <f t="shared" si="21"/>
        <v>8</v>
      </c>
      <c r="H230">
        <f t="shared" si="22"/>
        <v>5</v>
      </c>
      <c r="I230">
        <f t="shared" si="23"/>
        <v>33</v>
      </c>
      <c r="J230" t="str" cm="1">
        <f t="array" ref="J230">_xlfn.IFS(H230&lt;6,"Weekday",H230&gt;5,"Weekend")</f>
        <v>Weekday</v>
      </c>
    </row>
    <row r="231" spans="1:10" x14ac:dyDescent="0.25">
      <c r="A231" s="1">
        <v>45521</v>
      </c>
      <c r="B231" s="1" t="str" cm="1">
        <f t="array" ref="B231">_xlfn.IFS(H231=1,"Monday",H231=2,"Tuesday",H231=3,"Wednesday",H231=4,"Thursday",H231=5,"Friday",H231=6,"Saturday",H231=7,"Sunday")</f>
        <v>Saturday</v>
      </c>
      <c r="C231" s="1">
        <f t="shared" si="18"/>
        <v>45516</v>
      </c>
      <c r="D231" s="1">
        <f t="shared" si="19"/>
        <v>45505</v>
      </c>
      <c r="E231" s="1" cm="1">
        <f t="array" ref="E231">DATE(YEAR(A231),_xlfn.IFS(MONTH(A231)&lt;=3,1,MONTH(A231)&lt;=6,4,MONTH(A231)&lt;=9,7,MONTH(A231)&lt;=12,10),1)</f>
        <v>45474</v>
      </c>
      <c r="F231" s="1">
        <f t="shared" si="20"/>
        <v>45292</v>
      </c>
      <c r="G231">
        <f t="shared" si="21"/>
        <v>8</v>
      </c>
      <c r="H231">
        <f t="shared" si="22"/>
        <v>6</v>
      </c>
      <c r="I231">
        <f t="shared" si="23"/>
        <v>33</v>
      </c>
      <c r="J231" t="str" cm="1">
        <f t="array" ref="J231">_xlfn.IFS(H231&lt;6,"Weekday",H231&gt;5,"Weekend")</f>
        <v>Weekend</v>
      </c>
    </row>
    <row r="232" spans="1:10" x14ac:dyDescent="0.25">
      <c r="A232" s="1">
        <v>45522</v>
      </c>
      <c r="B232" s="1" t="str" cm="1">
        <f t="array" ref="B232">_xlfn.IFS(H232=1,"Monday",H232=2,"Tuesday",H232=3,"Wednesday",H232=4,"Thursday",H232=5,"Friday",H232=6,"Saturday",H232=7,"Sunday")</f>
        <v>Sunday</v>
      </c>
      <c r="C232" s="1">
        <f t="shared" si="18"/>
        <v>45516</v>
      </c>
      <c r="D232" s="1">
        <f t="shared" si="19"/>
        <v>45505</v>
      </c>
      <c r="E232" s="1" cm="1">
        <f t="array" ref="E232">DATE(YEAR(A232),_xlfn.IFS(MONTH(A232)&lt;=3,1,MONTH(A232)&lt;=6,4,MONTH(A232)&lt;=9,7,MONTH(A232)&lt;=12,10),1)</f>
        <v>45474</v>
      </c>
      <c r="F232" s="1">
        <f t="shared" si="20"/>
        <v>45292</v>
      </c>
      <c r="G232">
        <f t="shared" si="21"/>
        <v>8</v>
      </c>
      <c r="H232">
        <f t="shared" si="22"/>
        <v>7</v>
      </c>
      <c r="I232">
        <f t="shared" si="23"/>
        <v>33</v>
      </c>
      <c r="J232" t="str" cm="1">
        <f t="array" ref="J232">_xlfn.IFS(H232&lt;6,"Weekday",H232&gt;5,"Weekend")</f>
        <v>Weekend</v>
      </c>
    </row>
    <row r="233" spans="1:10" x14ac:dyDescent="0.25">
      <c r="A233" s="1">
        <v>45523</v>
      </c>
      <c r="B233" s="1" t="str" cm="1">
        <f t="array" ref="B233">_xlfn.IFS(H233=1,"Monday",H233=2,"Tuesday",H233=3,"Wednesday",H233=4,"Thursday",H233=5,"Friday",H233=6,"Saturday",H233=7,"Sunday")</f>
        <v>Monday</v>
      </c>
      <c r="C233" s="1">
        <f t="shared" si="18"/>
        <v>45523</v>
      </c>
      <c r="D233" s="1">
        <f t="shared" si="19"/>
        <v>45505</v>
      </c>
      <c r="E233" s="1" cm="1">
        <f t="array" ref="E233">DATE(YEAR(A233),_xlfn.IFS(MONTH(A233)&lt;=3,1,MONTH(A233)&lt;=6,4,MONTH(A233)&lt;=9,7,MONTH(A233)&lt;=12,10),1)</f>
        <v>45474</v>
      </c>
      <c r="F233" s="1">
        <f t="shared" si="20"/>
        <v>45292</v>
      </c>
      <c r="G233">
        <f t="shared" si="21"/>
        <v>8</v>
      </c>
      <c r="H233">
        <f t="shared" si="22"/>
        <v>1</v>
      </c>
      <c r="I233">
        <f t="shared" si="23"/>
        <v>34</v>
      </c>
      <c r="J233" t="str" cm="1">
        <f t="array" ref="J233">_xlfn.IFS(H233&lt;6,"Weekday",H233&gt;5,"Weekend")</f>
        <v>Weekday</v>
      </c>
    </row>
    <row r="234" spans="1:10" x14ac:dyDescent="0.25">
      <c r="A234" s="1">
        <v>45524</v>
      </c>
      <c r="B234" s="1" t="str" cm="1">
        <f t="array" ref="B234">_xlfn.IFS(H234=1,"Monday",H234=2,"Tuesday",H234=3,"Wednesday",H234=4,"Thursday",H234=5,"Friday",H234=6,"Saturday",H234=7,"Sunday")</f>
        <v>Tuesday</v>
      </c>
      <c r="C234" s="1">
        <f t="shared" si="18"/>
        <v>45523</v>
      </c>
      <c r="D234" s="1">
        <f t="shared" si="19"/>
        <v>45505</v>
      </c>
      <c r="E234" s="1" cm="1">
        <f t="array" ref="E234">DATE(YEAR(A234),_xlfn.IFS(MONTH(A234)&lt;=3,1,MONTH(A234)&lt;=6,4,MONTH(A234)&lt;=9,7,MONTH(A234)&lt;=12,10),1)</f>
        <v>45474</v>
      </c>
      <c r="F234" s="1">
        <f t="shared" si="20"/>
        <v>45292</v>
      </c>
      <c r="G234">
        <f t="shared" si="21"/>
        <v>8</v>
      </c>
      <c r="H234">
        <f t="shared" si="22"/>
        <v>2</v>
      </c>
      <c r="I234">
        <f t="shared" si="23"/>
        <v>34</v>
      </c>
      <c r="J234" t="str" cm="1">
        <f t="array" ref="J234">_xlfn.IFS(H234&lt;6,"Weekday",H234&gt;5,"Weekend")</f>
        <v>Weekday</v>
      </c>
    </row>
    <row r="235" spans="1:10" x14ac:dyDescent="0.25">
      <c r="A235" s="1">
        <v>45525</v>
      </c>
      <c r="B235" s="1" t="str" cm="1">
        <f t="array" ref="B235">_xlfn.IFS(H235=1,"Monday",H235=2,"Tuesday",H235=3,"Wednesday",H235=4,"Thursday",H235=5,"Friday",H235=6,"Saturday",H235=7,"Sunday")</f>
        <v>Wednesday</v>
      </c>
      <c r="C235" s="1">
        <f t="shared" si="18"/>
        <v>45523</v>
      </c>
      <c r="D235" s="1">
        <f t="shared" si="19"/>
        <v>45505</v>
      </c>
      <c r="E235" s="1" cm="1">
        <f t="array" ref="E235">DATE(YEAR(A235),_xlfn.IFS(MONTH(A235)&lt;=3,1,MONTH(A235)&lt;=6,4,MONTH(A235)&lt;=9,7,MONTH(A235)&lt;=12,10),1)</f>
        <v>45474</v>
      </c>
      <c r="F235" s="1">
        <f t="shared" si="20"/>
        <v>45292</v>
      </c>
      <c r="G235">
        <f t="shared" si="21"/>
        <v>8</v>
      </c>
      <c r="H235">
        <f t="shared" si="22"/>
        <v>3</v>
      </c>
      <c r="I235">
        <f t="shared" si="23"/>
        <v>34</v>
      </c>
      <c r="J235" t="str" cm="1">
        <f t="array" ref="J235">_xlfn.IFS(H235&lt;6,"Weekday",H235&gt;5,"Weekend")</f>
        <v>Weekday</v>
      </c>
    </row>
    <row r="236" spans="1:10" x14ac:dyDescent="0.25">
      <c r="A236" s="1">
        <v>45526</v>
      </c>
      <c r="B236" s="1" t="str" cm="1">
        <f t="array" ref="B236">_xlfn.IFS(H236=1,"Monday",H236=2,"Tuesday",H236=3,"Wednesday",H236=4,"Thursday",H236=5,"Friday",H236=6,"Saturday",H236=7,"Sunday")</f>
        <v>Thursday</v>
      </c>
      <c r="C236" s="1">
        <f t="shared" si="18"/>
        <v>45523</v>
      </c>
      <c r="D236" s="1">
        <f t="shared" si="19"/>
        <v>45505</v>
      </c>
      <c r="E236" s="1" cm="1">
        <f t="array" ref="E236">DATE(YEAR(A236),_xlfn.IFS(MONTH(A236)&lt;=3,1,MONTH(A236)&lt;=6,4,MONTH(A236)&lt;=9,7,MONTH(A236)&lt;=12,10),1)</f>
        <v>45474</v>
      </c>
      <c r="F236" s="1">
        <f t="shared" si="20"/>
        <v>45292</v>
      </c>
      <c r="G236">
        <f t="shared" si="21"/>
        <v>8</v>
      </c>
      <c r="H236">
        <f t="shared" si="22"/>
        <v>4</v>
      </c>
      <c r="I236">
        <f t="shared" si="23"/>
        <v>34</v>
      </c>
      <c r="J236" t="str" cm="1">
        <f t="array" ref="J236">_xlfn.IFS(H236&lt;6,"Weekday",H236&gt;5,"Weekend")</f>
        <v>Weekday</v>
      </c>
    </row>
    <row r="237" spans="1:10" x14ac:dyDescent="0.25">
      <c r="A237" s="1">
        <v>45527</v>
      </c>
      <c r="B237" s="1" t="str" cm="1">
        <f t="array" ref="B237">_xlfn.IFS(H237=1,"Monday",H237=2,"Tuesday",H237=3,"Wednesday",H237=4,"Thursday",H237=5,"Friday",H237=6,"Saturday",H237=7,"Sunday")</f>
        <v>Friday</v>
      </c>
      <c r="C237" s="1">
        <f t="shared" si="18"/>
        <v>45523</v>
      </c>
      <c r="D237" s="1">
        <f t="shared" si="19"/>
        <v>45505</v>
      </c>
      <c r="E237" s="1" cm="1">
        <f t="array" ref="E237">DATE(YEAR(A237),_xlfn.IFS(MONTH(A237)&lt;=3,1,MONTH(A237)&lt;=6,4,MONTH(A237)&lt;=9,7,MONTH(A237)&lt;=12,10),1)</f>
        <v>45474</v>
      </c>
      <c r="F237" s="1">
        <f t="shared" si="20"/>
        <v>45292</v>
      </c>
      <c r="G237">
        <f t="shared" si="21"/>
        <v>8</v>
      </c>
      <c r="H237">
        <f t="shared" si="22"/>
        <v>5</v>
      </c>
      <c r="I237">
        <f t="shared" si="23"/>
        <v>34</v>
      </c>
      <c r="J237" t="str" cm="1">
        <f t="array" ref="J237">_xlfn.IFS(H237&lt;6,"Weekday",H237&gt;5,"Weekend")</f>
        <v>Weekday</v>
      </c>
    </row>
    <row r="238" spans="1:10" x14ac:dyDescent="0.25">
      <c r="A238" s="1">
        <v>45528</v>
      </c>
      <c r="B238" s="1" t="str" cm="1">
        <f t="array" ref="B238">_xlfn.IFS(H238=1,"Monday",H238=2,"Tuesday",H238=3,"Wednesday",H238=4,"Thursday",H238=5,"Friday",H238=6,"Saturday",H238=7,"Sunday")</f>
        <v>Saturday</v>
      </c>
      <c r="C238" s="1">
        <f t="shared" si="18"/>
        <v>45523</v>
      </c>
      <c r="D238" s="1">
        <f t="shared" si="19"/>
        <v>45505</v>
      </c>
      <c r="E238" s="1" cm="1">
        <f t="array" ref="E238">DATE(YEAR(A238),_xlfn.IFS(MONTH(A238)&lt;=3,1,MONTH(A238)&lt;=6,4,MONTH(A238)&lt;=9,7,MONTH(A238)&lt;=12,10),1)</f>
        <v>45474</v>
      </c>
      <c r="F238" s="1">
        <f t="shared" si="20"/>
        <v>45292</v>
      </c>
      <c r="G238">
        <f t="shared" si="21"/>
        <v>8</v>
      </c>
      <c r="H238">
        <f t="shared" si="22"/>
        <v>6</v>
      </c>
      <c r="I238">
        <f t="shared" si="23"/>
        <v>34</v>
      </c>
      <c r="J238" t="str" cm="1">
        <f t="array" ref="J238">_xlfn.IFS(H238&lt;6,"Weekday",H238&gt;5,"Weekend")</f>
        <v>Weekend</v>
      </c>
    </row>
    <row r="239" spans="1:10" x14ac:dyDescent="0.25">
      <c r="A239" s="1">
        <v>45529</v>
      </c>
      <c r="B239" s="1" t="str" cm="1">
        <f t="array" ref="B239">_xlfn.IFS(H239=1,"Monday",H239=2,"Tuesday",H239=3,"Wednesday",H239=4,"Thursday",H239=5,"Friday",H239=6,"Saturday",H239=7,"Sunday")</f>
        <v>Sunday</v>
      </c>
      <c r="C239" s="1">
        <f t="shared" si="18"/>
        <v>45523</v>
      </c>
      <c r="D239" s="1">
        <f t="shared" si="19"/>
        <v>45505</v>
      </c>
      <c r="E239" s="1" cm="1">
        <f t="array" ref="E239">DATE(YEAR(A239),_xlfn.IFS(MONTH(A239)&lt;=3,1,MONTH(A239)&lt;=6,4,MONTH(A239)&lt;=9,7,MONTH(A239)&lt;=12,10),1)</f>
        <v>45474</v>
      </c>
      <c r="F239" s="1">
        <f t="shared" si="20"/>
        <v>45292</v>
      </c>
      <c r="G239">
        <f t="shared" si="21"/>
        <v>8</v>
      </c>
      <c r="H239">
        <f t="shared" si="22"/>
        <v>7</v>
      </c>
      <c r="I239">
        <f t="shared" si="23"/>
        <v>34</v>
      </c>
      <c r="J239" t="str" cm="1">
        <f t="array" ref="J239">_xlfn.IFS(H239&lt;6,"Weekday",H239&gt;5,"Weekend")</f>
        <v>Weekend</v>
      </c>
    </row>
    <row r="240" spans="1:10" x14ac:dyDescent="0.25">
      <c r="A240" s="1">
        <v>45530</v>
      </c>
      <c r="B240" s="1" t="str" cm="1">
        <f t="array" ref="B240">_xlfn.IFS(H240=1,"Monday",H240=2,"Tuesday",H240=3,"Wednesday",H240=4,"Thursday",H240=5,"Friday",H240=6,"Saturday",H240=7,"Sunday")</f>
        <v>Monday</v>
      </c>
      <c r="C240" s="1">
        <f t="shared" si="18"/>
        <v>45530</v>
      </c>
      <c r="D240" s="1">
        <f t="shared" si="19"/>
        <v>45505</v>
      </c>
      <c r="E240" s="1" cm="1">
        <f t="array" ref="E240">DATE(YEAR(A240),_xlfn.IFS(MONTH(A240)&lt;=3,1,MONTH(A240)&lt;=6,4,MONTH(A240)&lt;=9,7,MONTH(A240)&lt;=12,10),1)</f>
        <v>45474</v>
      </c>
      <c r="F240" s="1">
        <f t="shared" si="20"/>
        <v>45292</v>
      </c>
      <c r="G240">
        <f t="shared" si="21"/>
        <v>8</v>
      </c>
      <c r="H240">
        <f t="shared" si="22"/>
        <v>1</v>
      </c>
      <c r="I240">
        <f t="shared" si="23"/>
        <v>35</v>
      </c>
      <c r="J240" t="str" cm="1">
        <f t="array" ref="J240">_xlfn.IFS(H240&lt;6,"Weekday",H240&gt;5,"Weekend")</f>
        <v>Weekday</v>
      </c>
    </row>
    <row r="241" spans="1:10" x14ac:dyDescent="0.25">
      <c r="A241" s="1">
        <v>45531</v>
      </c>
      <c r="B241" s="1" t="str" cm="1">
        <f t="array" ref="B241">_xlfn.IFS(H241=1,"Monday",H241=2,"Tuesday",H241=3,"Wednesday",H241=4,"Thursday",H241=5,"Friday",H241=6,"Saturday",H241=7,"Sunday")</f>
        <v>Tuesday</v>
      </c>
      <c r="C241" s="1">
        <f t="shared" si="18"/>
        <v>45530</v>
      </c>
      <c r="D241" s="1">
        <f t="shared" si="19"/>
        <v>45505</v>
      </c>
      <c r="E241" s="1" cm="1">
        <f t="array" ref="E241">DATE(YEAR(A241),_xlfn.IFS(MONTH(A241)&lt;=3,1,MONTH(A241)&lt;=6,4,MONTH(A241)&lt;=9,7,MONTH(A241)&lt;=12,10),1)</f>
        <v>45474</v>
      </c>
      <c r="F241" s="1">
        <f t="shared" si="20"/>
        <v>45292</v>
      </c>
      <c r="G241">
        <f t="shared" si="21"/>
        <v>8</v>
      </c>
      <c r="H241">
        <f t="shared" si="22"/>
        <v>2</v>
      </c>
      <c r="I241">
        <f t="shared" si="23"/>
        <v>35</v>
      </c>
      <c r="J241" t="str" cm="1">
        <f t="array" ref="J241">_xlfn.IFS(H241&lt;6,"Weekday",H241&gt;5,"Weekend")</f>
        <v>Weekday</v>
      </c>
    </row>
    <row r="242" spans="1:10" x14ac:dyDescent="0.25">
      <c r="A242" s="1">
        <v>45532</v>
      </c>
      <c r="B242" s="1" t="str" cm="1">
        <f t="array" ref="B242">_xlfn.IFS(H242=1,"Monday",H242=2,"Tuesday",H242=3,"Wednesday",H242=4,"Thursday",H242=5,"Friday",H242=6,"Saturday",H242=7,"Sunday")</f>
        <v>Wednesday</v>
      </c>
      <c r="C242" s="1">
        <f t="shared" si="18"/>
        <v>45530</v>
      </c>
      <c r="D242" s="1">
        <f t="shared" si="19"/>
        <v>45505</v>
      </c>
      <c r="E242" s="1" cm="1">
        <f t="array" ref="E242">DATE(YEAR(A242),_xlfn.IFS(MONTH(A242)&lt;=3,1,MONTH(A242)&lt;=6,4,MONTH(A242)&lt;=9,7,MONTH(A242)&lt;=12,10),1)</f>
        <v>45474</v>
      </c>
      <c r="F242" s="1">
        <f t="shared" si="20"/>
        <v>45292</v>
      </c>
      <c r="G242">
        <f t="shared" si="21"/>
        <v>8</v>
      </c>
      <c r="H242">
        <f t="shared" si="22"/>
        <v>3</v>
      </c>
      <c r="I242">
        <f t="shared" si="23"/>
        <v>35</v>
      </c>
      <c r="J242" t="str" cm="1">
        <f t="array" ref="J242">_xlfn.IFS(H242&lt;6,"Weekday",H242&gt;5,"Weekend")</f>
        <v>Weekday</v>
      </c>
    </row>
    <row r="243" spans="1:10" x14ac:dyDescent="0.25">
      <c r="A243" s="1">
        <v>45533</v>
      </c>
      <c r="B243" s="1" t="str" cm="1">
        <f t="array" ref="B243">_xlfn.IFS(H243=1,"Monday",H243=2,"Tuesday",H243=3,"Wednesday",H243=4,"Thursday",H243=5,"Friday",H243=6,"Saturday",H243=7,"Sunday")</f>
        <v>Thursday</v>
      </c>
      <c r="C243" s="1">
        <f t="shared" si="18"/>
        <v>45530</v>
      </c>
      <c r="D243" s="1">
        <f t="shared" si="19"/>
        <v>45505</v>
      </c>
      <c r="E243" s="1" cm="1">
        <f t="array" ref="E243">DATE(YEAR(A243),_xlfn.IFS(MONTH(A243)&lt;=3,1,MONTH(A243)&lt;=6,4,MONTH(A243)&lt;=9,7,MONTH(A243)&lt;=12,10),1)</f>
        <v>45474</v>
      </c>
      <c r="F243" s="1">
        <f t="shared" si="20"/>
        <v>45292</v>
      </c>
      <c r="G243">
        <f t="shared" si="21"/>
        <v>8</v>
      </c>
      <c r="H243">
        <f t="shared" si="22"/>
        <v>4</v>
      </c>
      <c r="I243">
        <f t="shared" si="23"/>
        <v>35</v>
      </c>
      <c r="J243" t="str" cm="1">
        <f t="array" ref="J243">_xlfn.IFS(H243&lt;6,"Weekday",H243&gt;5,"Weekend")</f>
        <v>Weekday</v>
      </c>
    </row>
    <row r="244" spans="1:10" x14ac:dyDescent="0.25">
      <c r="A244" s="1">
        <v>45534</v>
      </c>
      <c r="B244" s="1" t="str" cm="1">
        <f t="array" ref="B244">_xlfn.IFS(H244=1,"Monday",H244=2,"Tuesday",H244=3,"Wednesday",H244=4,"Thursday",H244=5,"Friday",H244=6,"Saturday",H244=7,"Sunday")</f>
        <v>Friday</v>
      </c>
      <c r="C244" s="1">
        <f t="shared" si="18"/>
        <v>45530</v>
      </c>
      <c r="D244" s="1">
        <f t="shared" si="19"/>
        <v>45505</v>
      </c>
      <c r="E244" s="1" cm="1">
        <f t="array" ref="E244">DATE(YEAR(A244),_xlfn.IFS(MONTH(A244)&lt;=3,1,MONTH(A244)&lt;=6,4,MONTH(A244)&lt;=9,7,MONTH(A244)&lt;=12,10),1)</f>
        <v>45474</v>
      </c>
      <c r="F244" s="1">
        <f t="shared" si="20"/>
        <v>45292</v>
      </c>
      <c r="G244">
        <f t="shared" si="21"/>
        <v>8</v>
      </c>
      <c r="H244">
        <f t="shared" si="22"/>
        <v>5</v>
      </c>
      <c r="I244">
        <f t="shared" si="23"/>
        <v>35</v>
      </c>
      <c r="J244" t="str" cm="1">
        <f t="array" ref="J244">_xlfn.IFS(H244&lt;6,"Weekday",H244&gt;5,"Weekend")</f>
        <v>Weekday</v>
      </c>
    </row>
    <row r="245" spans="1:10" x14ac:dyDescent="0.25">
      <c r="A245" s="1">
        <v>45535</v>
      </c>
      <c r="B245" s="1" t="str" cm="1">
        <f t="array" ref="B245">_xlfn.IFS(H245=1,"Monday",H245=2,"Tuesday",H245=3,"Wednesday",H245=4,"Thursday",H245=5,"Friday",H245=6,"Saturday",H245=7,"Sunday")</f>
        <v>Saturday</v>
      </c>
      <c r="C245" s="1">
        <f t="shared" si="18"/>
        <v>45530</v>
      </c>
      <c r="D245" s="1">
        <f t="shared" si="19"/>
        <v>45505</v>
      </c>
      <c r="E245" s="1" cm="1">
        <f t="array" ref="E245">DATE(YEAR(A245),_xlfn.IFS(MONTH(A245)&lt;=3,1,MONTH(A245)&lt;=6,4,MONTH(A245)&lt;=9,7,MONTH(A245)&lt;=12,10),1)</f>
        <v>45474</v>
      </c>
      <c r="F245" s="1">
        <f t="shared" si="20"/>
        <v>45292</v>
      </c>
      <c r="G245">
        <f t="shared" si="21"/>
        <v>8</v>
      </c>
      <c r="H245">
        <f t="shared" si="22"/>
        <v>6</v>
      </c>
      <c r="I245">
        <f t="shared" si="23"/>
        <v>35</v>
      </c>
      <c r="J245" t="str" cm="1">
        <f t="array" ref="J245">_xlfn.IFS(H245&lt;6,"Weekday",H245&gt;5,"Weekend")</f>
        <v>Weekend</v>
      </c>
    </row>
    <row r="246" spans="1:10" x14ac:dyDescent="0.25">
      <c r="A246" s="1">
        <v>45536</v>
      </c>
      <c r="B246" s="1" t="str" cm="1">
        <f t="array" ref="B246">_xlfn.IFS(H246=1,"Monday",H246=2,"Tuesday",H246=3,"Wednesday",H246=4,"Thursday",H246=5,"Friday",H246=6,"Saturday",H246=7,"Sunday")</f>
        <v>Sunday</v>
      </c>
      <c r="C246" s="1">
        <f t="shared" si="18"/>
        <v>45530</v>
      </c>
      <c r="D246" s="1">
        <f t="shared" si="19"/>
        <v>45536</v>
      </c>
      <c r="E246" s="1" cm="1">
        <f t="array" ref="E246">DATE(YEAR(A246),_xlfn.IFS(MONTH(A246)&lt;=3,1,MONTH(A246)&lt;=6,4,MONTH(A246)&lt;=9,7,MONTH(A246)&lt;=12,10),1)</f>
        <v>45474</v>
      </c>
      <c r="F246" s="1">
        <f t="shared" si="20"/>
        <v>45292</v>
      </c>
      <c r="G246">
        <f t="shared" si="21"/>
        <v>9</v>
      </c>
      <c r="H246">
        <f t="shared" si="22"/>
        <v>7</v>
      </c>
      <c r="I246">
        <f t="shared" si="23"/>
        <v>35</v>
      </c>
      <c r="J246" t="str" cm="1">
        <f t="array" ref="J246">_xlfn.IFS(H246&lt;6,"Weekday",H246&gt;5,"Weekend")</f>
        <v>Weekend</v>
      </c>
    </row>
    <row r="247" spans="1:10" x14ac:dyDescent="0.25">
      <c r="A247" s="1">
        <v>45537</v>
      </c>
      <c r="B247" s="1" t="str" cm="1">
        <f t="array" ref="B247">_xlfn.IFS(H247=1,"Monday",H247=2,"Tuesday",H247=3,"Wednesday",H247=4,"Thursday",H247=5,"Friday",H247=6,"Saturday",H247=7,"Sunday")</f>
        <v>Monday</v>
      </c>
      <c r="C247" s="1">
        <f t="shared" si="18"/>
        <v>45537</v>
      </c>
      <c r="D247" s="1">
        <f t="shared" si="19"/>
        <v>45536</v>
      </c>
      <c r="E247" s="1" cm="1">
        <f t="array" ref="E247">DATE(YEAR(A247),_xlfn.IFS(MONTH(A247)&lt;=3,1,MONTH(A247)&lt;=6,4,MONTH(A247)&lt;=9,7,MONTH(A247)&lt;=12,10),1)</f>
        <v>45474</v>
      </c>
      <c r="F247" s="1">
        <f t="shared" si="20"/>
        <v>45292</v>
      </c>
      <c r="G247">
        <f t="shared" si="21"/>
        <v>9</v>
      </c>
      <c r="H247">
        <f t="shared" si="22"/>
        <v>1</v>
      </c>
      <c r="I247">
        <f t="shared" si="23"/>
        <v>36</v>
      </c>
      <c r="J247" t="str" cm="1">
        <f t="array" ref="J247">_xlfn.IFS(H247&lt;6,"Weekday",H247&gt;5,"Weekend")</f>
        <v>Weekday</v>
      </c>
    </row>
    <row r="248" spans="1:10" x14ac:dyDescent="0.25">
      <c r="A248" s="1">
        <v>45538</v>
      </c>
      <c r="B248" s="1" t="str" cm="1">
        <f t="array" ref="B248">_xlfn.IFS(H248=1,"Monday",H248=2,"Tuesday",H248=3,"Wednesday",H248=4,"Thursday",H248=5,"Friday",H248=6,"Saturday",H248=7,"Sunday")</f>
        <v>Tuesday</v>
      </c>
      <c r="C248" s="1">
        <f t="shared" si="18"/>
        <v>45537</v>
      </c>
      <c r="D248" s="1">
        <f t="shared" si="19"/>
        <v>45536</v>
      </c>
      <c r="E248" s="1" cm="1">
        <f t="array" ref="E248">DATE(YEAR(A248),_xlfn.IFS(MONTH(A248)&lt;=3,1,MONTH(A248)&lt;=6,4,MONTH(A248)&lt;=9,7,MONTH(A248)&lt;=12,10),1)</f>
        <v>45474</v>
      </c>
      <c r="F248" s="1">
        <f t="shared" si="20"/>
        <v>45292</v>
      </c>
      <c r="G248">
        <f t="shared" si="21"/>
        <v>9</v>
      </c>
      <c r="H248">
        <f t="shared" si="22"/>
        <v>2</v>
      </c>
      <c r="I248">
        <f t="shared" si="23"/>
        <v>36</v>
      </c>
      <c r="J248" t="str" cm="1">
        <f t="array" ref="J248">_xlfn.IFS(H248&lt;6,"Weekday",H248&gt;5,"Weekend")</f>
        <v>Weekday</v>
      </c>
    </row>
    <row r="249" spans="1:10" x14ac:dyDescent="0.25">
      <c r="A249" s="1">
        <v>45539</v>
      </c>
      <c r="B249" s="1" t="str" cm="1">
        <f t="array" ref="B249">_xlfn.IFS(H249=1,"Monday",H249=2,"Tuesday",H249=3,"Wednesday",H249=4,"Thursday",H249=5,"Friday",H249=6,"Saturday",H249=7,"Sunday")</f>
        <v>Wednesday</v>
      </c>
      <c r="C249" s="1">
        <f t="shared" si="18"/>
        <v>45537</v>
      </c>
      <c r="D249" s="1">
        <f t="shared" si="19"/>
        <v>45536</v>
      </c>
      <c r="E249" s="1" cm="1">
        <f t="array" ref="E249">DATE(YEAR(A249),_xlfn.IFS(MONTH(A249)&lt;=3,1,MONTH(A249)&lt;=6,4,MONTH(A249)&lt;=9,7,MONTH(A249)&lt;=12,10),1)</f>
        <v>45474</v>
      </c>
      <c r="F249" s="1">
        <f t="shared" si="20"/>
        <v>45292</v>
      </c>
      <c r="G249">
        <f t="shared" si="21"/>
        <v>9</v>
      </c>
      <c r="H249">
        <f t="shared" si="22"/>
        <v>3</v>
      </c>
      <c r="I249">
        <f t="shared" si="23"/>
        <v>36</v>
      </c>
      <c r="J249" t="str" cm="1">
        <f t="array" ref="J249">_xlfn.IFS(H249&lt;6,"Weekday",H249&gt;5,"Weekend")</f>
        <v>Weekday</v>
      </c>
    </row>
    <row r="250" spans="1:10" x14ac:dyDescent="0.25">
      <c r="A250" s="1">
        <v>45540</v>
      </c>
      <c r="B250" s="1" t="str" cm="1">
        <f t="array" ref="B250">_xlfn.IFS(H250=1,"Monday",H250=2,"Tuesday",H250=3,"Wednesday",H250=4,"Thursday",H250=5,"Friday",H250=6,"Saturday",H250=7,"Sunday")</f>
        <v>Thursday</v>
      </c>
      <c r="C250" s="1">
        <f t="shared" si="18"/>
        <v>45537</v>
      </c>
      <c r="D250" s="1">
        <f t="shared" si="19"/>
        <v>45536</v>
      </c>
      <c r="E250" s="1" cm="1">
        <f t="array" ref="E250">DATE(YEAR(A250),_xlfn.IFS(MONTH(A250)&lt;=3,1,MONTH(A250)&lt;=6,4,MONTH(A250)&lt;=9,7,MONTH(A250)&lt;=12,10),1)</f>
        <v>45474</v>
      </c>
      <c r="F250" s="1">
        <f t="shared" si="20"/>
        <v>45292</v>
      </c>
      <c r="G250">
        <f t="shared" si="21"/>
        <v>9</v>
      </c>
      <c r="H250">
        <f t="shared" si="22"/>
        <v>4</v>
      </c>
      <c r="I250">
        <f t="shared" si="23"/>
        <v>36</v>
      </c>
      <c r="J250" t="str" cm="1">
        <f t="array" ref="J250">_xlfn.IFS(H250&lt;6,"Weekday",H250&gt;5,"Weekend")</f>
        <v>Weekday</v>
      </c>
    </row>
    <row r="251" spans="1:10" x14ac:dyDescent="0.25">
      <c r="A251" s="1">
        <v>45541</v>
      </c>
      <c r="B251" s="1" t="str" cm="1">
        <f t="array" ref="B251">_xlfn.IFS(H251=1,"Monday",H251=2,"Tuesday",H251=3,"Wednesday",H251=4,"Thursday",H251=5,"Friday",H251=6,"Saturday",H251=7,"Sunday")</f>
        <v>Friday</v>
      </c>
      <c r="C251" s="1">
        <f t="shared" si="18"/>
        <v>45537</v>
      </c>
      <c r="D251" s="1">
        <f t="shared" si="19"/>
        <v>45536</v>
      </c>
      <c r="E251" s="1" cm="1">
        <f t="array" ref="E251">DATE(YEAR(A251),_xlfn.IFS(MONTH(A251)&lt;=3,1,MONTH(A251)&lt;=6,4,MONTH(A251)&lt;=9,7,MONTH(A251)&lt;=12,10),1)</f>
        <v>45474</v>
      </c>
      <c r="F251" s="1">
        <f t="shared" si="20"/>
        <v>45292</v>
      </c>
      <c r="G251">
        <f t="shared" si="21"/>
        <v>9</v>
      </c>
      <c r="H251">
        <f t="shared" si="22"/>
        <v>5</v>
      </c>
      <c r="I251">
        <f t="shared" si="23"/>
        <v>36</v>
      </c>
      <c r="J251" t="str" cm="1">
        <f t="array" ref="J251">_xlfn.IFS(H251&lt;6,"Weekday",H251&gt;5,"Weekend")</f>
        <v>Weekday</v>
      </c>
    </row>
    <row r="252" spans="1:10" x14ac:dyDescent="0.25">
      <c r="A252" s="1">
        <v>45542</v>
      </c>
      <c r="B252" s="1" t="str" cm="1">
        <f t="array" ref="B252">_xlfn.IFS(H252=1,"Monday",H252=2,"Tuesday",H252=3,"Wednesday",H252=4,"Thursday",H252=5,"Friday",H252=6,"Saturday",H252=7,"Sunday")</f>
        <v>Saturday</v>
      </c>
      <c r="C252" s="1">
        <f t="shared" si="18"/>
        <v>45537</v>
      </c>
      <c r="D252" s="1">
        <f t="shared" si="19"/>
        <v>45536</v>
      </c>
      <c r="E252" s="1" cm="1">
        <f t="array" ref="E252">DATE(YEAR(A252),_xlfn.IFS(MONTH(A252)&lt;=3,1,MONTH(A252)&lt;=6,4,MONTH(A252)&lt;=9,7,MONTH(A252)&lt;=12,10),1)</f>
        <v>45474</v>
      </c>
      <c r="F252" s="1">
        <f t="shared" si="20"/>
        <v>45292</v>
      </c>
      <c r="G252">
        <f t="shared" si="21"/>
        <v>9</v>
      </c>
      <c r="H252">
        <f t="shared" si="22"/>
        <v>6</v>
      </c>
      <c r="I252">
        <f t="shared" si="23"/>
        <v>36</v>
      </c>
      <c r="J252" t="str" cm="1">
        <f t="array" ref="J252">_xlfn.IFS(H252&lt;6,"Weekday",H252&gt;5,"Weekend")</f>
        <v>Weekend</v>
      </c>
    </row>
    <row r="253" spans="1:10" x14ac:dyDescent="0.25">
      <c r="A253" s="1">
        <v>45543</v>
      </c>
      <c r="B253" s="1" t="str" cm="1">
        <f t="array" ref="B253">_xlfn.IFS(H253=1,"Monday",H253=2,"Tuesday",H253=3,"Wednesday",H253=4,"Thursday",H253=5,"Friday",H253=6,"Saturday",H253=7,"Sunday")</f>
        <v>Sunday</v>
      </c>
      <c r="C253" s="1">
        <f t="shared" si="18"/>
        <v>45537</v>
      </c>
      <c r="D253" s="1">
        <f t="shared" si="19"/>
        <v>45536</v>
      </c>
      <c r="E253" s="1" cm="1">
        <f t="array" ref="E253">DATE(YEAR(A253),_xlfn.IFS(MONTH(A253)&lt;=3,1,MONTH(A253)&lt;=6,4,MONTH(A253)&lt;=9,7,MONTH(A253)&lt;=12,10),1)</f>
        <v>45474</v>
      </c>
      <c r="F253" s="1">
        <f t="shared" si="20"/>
        <v>45292</v>
      </c>
      <c r="G253">
        <f t="shared" si="21"/>
        <v>9</v>
      </c>
      <c r="H253">
        <f t="shared" si="22"/>
        <v>7</v>
      </c>
      <c r="I253">
        <f t="shared" si="23"/>
        <v>36</v>
      </c>
      <c r="J253" t="str" cm="1">
        <f t="array" ref="J253">_xlfn.IFS(H253&lt;6,"Weekday",H253&gt;5,"Weekend")</f>
        <v>Weekend</v>
      </c>
    </row>
    <row r="254" spans="1:10" x14ac:dyDescent="0.25">
      <c r="A254" s="1">
        <v>45544</v>
      </c>
      <c r="B254" s="1" t="str" cm="1">
        <f t="array" ref="B254">_xlfn.IFS(H254=1,"Monday",H254=2,"Tuesday",H254=3,"Wednesday",H254=4,"Thursday",H254=5,"Friday",H254=6,"Saturday",H254=7,"Sunday")</f>
        <v>Monday</v>
      </c>
      <c r="C254" s="1">
        <f t="shared" si="18"/>
        <v>45544</v>
      </c>
      <c r="D254" s="1">
        <f t="shared" si="19"/>
        <v>45536</v>
      </c>
      <c r="E254" s="1" cm="1">
        <f t="array" ref="E254">DATE(YEAR(A254),_xlfn.IFS(MONTH(A254)&lt;=3,1,MONTH(A254)&lt;=6,4,MONTH(A254)&lt;=9,7,MONTH(A254)&lt;=12,10),1)</f>
        <v>45474</v>
      </c>
      <c r="F254" s="1">
        <f t="shared" si="20"/>
        <v>45292</v>
      </c>
      <c r="G254">
        <f t="shared" si="21"/>
        <v>9</v>
      </c>
      <c r="H254">
        <f t="shared" si="22"/>
        <v>1</v>
      </c>
      <c r="I254">
        <f t="shared" si="23"/>
        <v>37</v>
      </c>
      <c r="J254" t="str" cm="1">
        <f t="array" ref="J254">_xlfn.IFS(H254&lt;6,"Weekday",H254&gt;5,"Weekend")</f>
        <v>Weekday</v>
      </c>
    </row>
    <row r="255" spans="1:10" x14ac:dyDescent="0.25">
      <c r="A255" s="1">
        <v>45545</v>
      </c>
      <c r="B255" s="1" t="str" cm="1">
        <f t="array" ref="B255">_xlfn.IFS(H255=1,"Monday",H255=2,"Tuesday",H255=3,"Wednesday",H255=4,"Thursday",H255=5,"Friday",H255=6,"Saturday",H255=7,"Sunday")</f>
        <v>Tuesday</v>
      </c>
      <c r="C255" s="1">
        <f t="shared" si="18"/>
        <v>45544</v>
      </c>
      <c r="D255" s="1">
        <f t="shared" si="19"/>
        <v>45536</v>
      </c>
      <c r="E255" s="1" cm="1">
        <f t="array" ref="E255">DATE(YEAR(A255),_xlfn.IFS(MONTH(A255)&lt;=3,1,MONTH(A255)&lt;=6,4,MONTH(A255)&lt;=9,7,MONTH(A255)&lt;=12,10),1)</f>
        <v>45474</v>
      </c>
      <c r="F255" s="1">
        <f t="shared" si="20"/>
        <v>45292</v>
      </c>
      <c r="G255">
        <f t="shared" si="21"/>
        <v>9</v>
      </c>
      <c r="H255">
        <f t="shared" si="22"/>
        <v>2</v>
      </c>
      <c r="I255">
        <f t="shared" si="23"/>
        <v>37</v>
      </c>
      <c r="J255" t="str" cm="1">
        <f t="array" ref="J255">_xlfn.IFS(H255&lt;6,"Weekday",H255&gt;5,"Weekend")</f>
        <v>Weekday</v>
      </c>
    </row>
    <row r="256" spans="1:10" x14ac:dyDescent="0.25">
      <c r="A256" s="1">
        <v>45546</v>
      </c>
      <c r="B256" s="1" t="str" cm="1">
        <f t="array" ref="B256">_xlfn.IFS(H256=1,"Monday",H256=2,"Tuesday",H256=3,"Wednesday",H256=4,"Thursday",H256=5,"Friday",H256=6,"Saturday",H256=7,"Sunday")</f>
        <v>Wednesday</v>
      </c>
      <c r="C256" s="1">
        <f t="shared" si="18"/>
        <v>45544</v>
      </c>
      <c r="D256" s="1">
        <f t="shared" si="19"/>
        <v>45536</v>
      </c>
      <c r="E256" s="1" cm="1">
        <f t="array" ref="E256">DATE(YEAR(A256),_xlfn.IFS(MONTH(A256)&lt;=3,1,MONTH(A256)&lt;=6,4,MONTH(A256)&lt;=9,7,MONTH(A256)&lt;=12,10),1)</f>
        <v>45474</v>
      </c>
      <c r="F256" s="1">
        <f t="shared" si="20"/>
        <v>45292</v>
      </c>
      <c r="G256">
        <f t="shared" si="21"/>
        <v>9</v>
      </c>
      <c r="H256">
        <f t="shared" si="22"/>
        <v>3</v>
      </c>
      <c r="I256">
        <f t="shared" si="23"/>
        <v>37</v>
      </c>
      <c r="J256" t="str" cm="1">
        <f t="array" ref="J256">_xlfn.IFS(H256&lt;6,"Weekday",H256&gt;5,"Weekend")</f>
        <v>Weekday</v>
      </c>
    </row>
    <row r="257" spans="1:10" x14ac:dyDescent="0.25">
      <c r="A257" s="1">
        <v>45547</v>
      </c>
      <c r="B257" s="1" t="str" cm="1">
        <f t="array" ref="B257">_xlfn.IFS(H257=1,"Monday",H257=2,"Tuesday",H257=3,"Wednesday",H257=4,"Thursday",H257=5,"Friday",H257=6,"Saturday",H257=7,"Sunday")</f>
        <v>Thursday</v>
      </c>
      <c r="C257" s="1">
        <f t="shared" si="18"/>
        <v>45544</v>
      </c>
      <c r="D257" s="1">
        <f t="shared" si="19"/>
        <v>45536</v>
      </c>
      <c r="E257" s="1" cm="1">
        <f t="array" ref="E257">DATE(YEAR(A257),_xlfn.IFS(MONTH(A257)&lt;=3,1,MONTH(A257)&lt;=6,4,MONTH(A257)&lt;=9,7,MONTH(A257)&lt;=12,10),1)</f>
        <v>45474</v>
      </c>
      <c r="F257" s="1">
        <f t="shared" si="20"/>
        <v>45292</v>
      </c>
      <c r="G257">
        <f t="shared" si="21"/>
        <v>9</v>
      </c>
      <c r="H257">
        <f t="shared" si="22"/>
        <v>4</v>
      </c>
      <c r="I257">
        <f t="shared" si="23"/>
        <v>37</v>
      </c>
      <c r="J257" t="str" cm="1">
        <f t="array" ref="J257">_xlfn.IFS(H257&lt;6,"Weekday",H257&gt;5,"Weekend")</f>
        <v>Weekday</v>
      </c>
    </row>
    <row r="258" spans="1:10" x14ac:dyDescent="0.25">
      <c r="A258" s="1">
        <v>45548</v>
      </c>
      <c r="B258" s="1" t="str" cm="1">
        <f t="array" ref="B258">_xlfn.IFS(H258=1,"Monday",H258=2,"Tuesday",H258=3,"Wednesday",H258=4,"Thursday",H258=5,"Friday",H258=6,"Saturday",H258=7,"Sunday")</f>
        <v>Friday</v>
      </c>
      <c r="C258" s="1">
        <f t="shared" ref="C258:C321" si="24">A258-WEEKDAY(A258,2)+1</f>
        <v>45544</v>
      </c>
      <c r="D258" s="1">
        <f t="shared" ref="D258:D321" si="25">DATE(YEAR(A258),MONTH(A258),1)</f>
        <v>45536</v>
      </c>
      <c r="E258" s="1" cm="1">
        <f t="array" ref="E258">DATE(YEAR(A258),_xlfn.IFS(MONTH(A258)&lt;=3,1,MONTH(A258)&lt;=6,4,MONTH(A258)&lt;=9,7,MONTH(A258)&lt;=12,10),1)</f>
        <v>45474</v>
      </c>
      <c r="F258" s="1">
        <f t="shared" ref="F258:F321" si="26">DATE(YEAR(A258),1,1)</f>
        <v>45292</v>
      </c>
      <c r="G258">
        <f t="shared" ref="G258:G321" si="27">MONTH(A258)</f>
        <v>9</v>
      </c>
      <c r="H258">
        <f t="shared" ref="H258:H321" si="28">WEEKDAY(A258,2)</f>
        <v>5</v>
      </c>
      <c r="I258">
        <f t="shared" ref="I258:I321" si="29">_xlfn.ISOWEEKNUM(A258)</f>
        <v>37</v>
      </c>
      <c r="J258" t="str" cm="1">
        <f t="array" ref="J258">_xlfn.IFS(H258&lt;6,"Weekday",H258&gt;5,"Weekend")</f>
        <v>Weekday</v>
      </c>
    </row>
    <row r="259" spans="1:10" x14ac:dyDescent="0.25">
      <c r="A259" s="1">
        <v>45549</v>
      </c>
      <c r="B259" s="1" t="str" cm="1">
        <f t="array" ref="B259">_xlfn.IFS(H259=1,"Monday",H259=2,"Tuesday",H259=3,"Wednesday",H259=4,"Thursday",H259=5,"Friday",H259=6,"Saturday",H259=7,"Sunday")</f>
        <v>Saturday</v>
      </c>
      <c r="C259" s="1">
        <f t="shared" si="24"/>
        <v>45544</v>
      </c>
      <c r="D259" s="1">
        <f t="shared" si="25"/>
        <v>45536</v>
      </c>
      <c r="E259" s="1" cm="1">
        <f t="array" ref="E259">DATE(YEAR(A259),_xlfn.IFS(MONTH(A259)&lt;=3,1,MONTH(A259)&lt;=6,4,MONTH(A259)&lt;=9,7,MONTH(A259)&lt;=12,10),1)</f>
        <v>45474</v>
      </c>
      <c r="F259" s="1">
        <f t="shared" si="26"/>
        <v>45292</v>
      </c>
      <c r="G259">
        <f t="shared" si="27"/>
        <v>9</v>
      </c>
      <c r="H259">
        <f t="shared" si="28"/>
        <v>6</v>
      </c>
      <c r="I259">
        <f t="shared" si="29"/>
        <v>37</v>
      </c>
      <c r="J259" t="str" cm="1">
        <f t="array" ref="J259">_xlfn.IFS(H259&lt;6,"Weekday",H259&gt;5,"Weekend")</f>
        <v>Weekend</v>
      </c>
    </row>
    <row r="260" spans="1:10" x14ac:dyDescent="0.25">
      <c r="A260" s="1">
        <v>45550</v>
      </c>
      <c r="B260" s="1" t="str" cm="1">
        <f t="array" ref="B260">_xlfn.IFS(H260=1,"Monday",H260=2,"Tuesday",H260=3,"Wednesday",H260=4,"Thursday",H260=5,"Friday",H260=6,"Saturday",H260=7,"Sunday")</f>
        <v>Sunday</v>
      </c>
      <c r="C260" s="1">
        <f t="shared" si="24"/>
        <v>45544</v>
      </c>
      <c r="D260" s="1">
        <f t="shared" si="25"/>
        <v>45536</v>
      </c>
      <c r="E260" s="1" cm="1">
        <f t="array" ref="E260">DATE(YEAR(A260),_xlfn.IFS(MONTH(A260)&lt;=3,1,MONTH(A260)&lt;=6,4,MONTH(A260)&lt;=9,7,MONTH(A260)&lt;=12,10),1)</f>
        <v>45474</v>
      </c>
      <c r="F260" s="1">
        <f t="shared" si="26"/>
        <v>45292</v>
      </c>
      <c r="G260">
        <f t="shared" si="27"/>
        <v>9</v>
      </c>
      <c r="H260">
        <f t="shared" si="28"/>
        <v>7</v>
      </c>
      <c r="I260">
        <f t="shared" si="29"/>
        <v>37</v>
      </c>
      <c r="J260" t="str" cm="1">
        <f t="array" ref="J260">_xlfn.IFS(H260&lt;6,"Weekday",H260&gt;5,"Weekend")</f>
        <v>Weekend</v>
      </c>
    </row>
    <row r="261" spans="1:10" x14ac:dyDescent="0.25">
      <c r="A261" s="1">
        <v>45551</v>
      </c>
      <c r="B261" s="1" t="str" cm="1">
        <f t="array" ref="B261">_xlfn.IFS(H261=1,"Monday",H261=2,"Tuesday",H261=3,"Wednesday",H261=4,"Thursday",H261=5,"Friday",H261=6,"Saturday",H261=7,"Sunday")</f>
        <v>Monday</v>
      </c>
      <c r="C261" s="1">
        <f t="shared" si="24"/>
        <v>45551</v>
      </c>
      <c r="D261" s="1">
        <f t="shared" si="25"/>
        <v>45536</v>
      </c>
      <c r="E261" s="1" cm="1">
        <f t="array" ref="E261">DATE(YEAR(A261),_xlfn.IFS(MONTH(A261)&lt;=3,1,MONTH(A261)&lt;=6,4,MONTH(A261)&lt;=9,7,MONTH(A261)&lt;=12,10),1)</f>
        <v>45474</v>
      </c>
      <c r="F261" s="1">
        <f t="shared" si="26"/>
        <v>45292</v>
      </c>
      <c r="G261">
        <f t="shared" si="27"/>
        <v>9</v>
      </c>
      <c r="H261">
        <f t="shared" si="28"/>
        <v>1</v>
      </c>
      <c r="I261">
        <f t="shared" si="29"/>
        <v>38</v>
      </c>
      <c r="J261" t="str" cm="1">
        <f t="array" ref="J261">_xlfn.IFS(H261&lt;6,"Weekday",H261&gt;5,"Weekend")</f>
        <v>Weekday</v>
      </c>
    </row>
    <row r="262" spans="1:10" x14ac:dyDescent="0.25">
      <c r="A262" s="1">
        <v>45552</v>
      </c>
      <c r="B262" s="1" t="str" cm="1">
        <f t="array" ref="B262">_xlfn.IFS(H262=1,"Monday",H262=2,"Tuesday",H262=3,"Wednesday",H262=4,"Thursday",H262=5,"Friday",H262=6,"Saturday",H262=7,"Sunday")</f>
        <v>Tuesday</v>
      </c>
      <c r="C262" s="1">
        <f t="shared" si="24"/>
        <v>45551</v>
      </c>
      <c r="D262" s="1">
        <f t="shared" si="25"/>
        <v>45536</v>
      </c>
      <c r="E262" s="1" cm="1">
        <f t="array" ref="E262">DATE(YEAR(A262),_xlfn.IFS(MONTH(A262)&lt;=3,1,MONTH(A262)&lt;=6,4,MONTH(A262)&lt;=9,7,MONTH(A262)&lt;=12,10),1)</f>
        <v>45474</v>
      </c>
      <c r="F262" s="1">
        <f t="shared" si="26"/>
        <v>45292</v>
      </c>
      <c r="G262">
        <f t="shared" si="27"/>
        <v>9</v>
      </c>
      <c r="H262">
        <f t="shared" si="28"/>
        <v>2</v>
      </c>
      <c r="I262">
        <f t="shared" si="29"/>
        <v>38</v>
      </c>
      <c r="J262" t="str" cm="1">
        <f t="array" ref="J262">_xlfn.IFS(H262&lt;6,"Weekday",H262&gt;5,"Weekend")</f>
        <v>Weekday</v>
      </c>
    </row>
    <row r="263" spans="1:10" x14ac:dyDescent="0.25">
      <c r="A263" s="1">
        <v>45553</v>
      </c>
      <c r="B263" s="1" t="str" cm="1">
        <f t="array" ref="B263">_xlfn.IFS(H263=1,"Monday",H263=2,"Tuesday",H263=3,"Wednesday",H263=4,"Thursday",H263=5,"Friday",H263=6,"Saturday",H263=7,"Sunday")</f>
        <v>Wednesday</v>
      </c>
      <c r="C263" s="1">
        <f t="shared" si="24"/>
        <v>45551</v>
      </c>
      <c r="D263" s="1">
        <f t="shared" si="25"/>
        <v>45536</v>
      </c>
      <c r="E263" s="1" cm="1">
        <f t="array" ref="E263">DATE(YEAR(A263),_xlfn.IFS(MONTH(A263)&lt;=3,1,MONTH(A263)&lt;=6,4,MONTH(A263)&lt;=9,7,MONTH(A263)&lt;=12,10),1)</f>
        <v>45474</v>
      </c>
      <c r="F263" s="1">
        <f t="shared" si="26"/>
        <v>45292</v>
      </c>
      <c r="G263">
        <f t="shared" si="27"/>
        <v>9</v>
      </c>
      <c r="H263">
        <f t="shared" si="28"/>
        <v>3</v>
      </c>
      <c r="I263">
        <f t="shared" si="29"/>
        <v>38</v>
      </c>
      <c r="J263" t="str" cm="1">
        <f t="array" ref="J263">_xlfn.IFS(H263&lt;6,"Weekday",H263&gt;5,"Weekend")</f>
        <v>Weekday</v>
      </c>
    </row>
    <row r="264" spans="1:10" x14ac:dyDescent="0.25">
      <c r="A264" s="1">
        <v>45554</v>
      </c>
      <c r="B264" s="1" t="str" cm="1">
        <f t="array" ref="B264">_xlfn.IFS(H264=1,"Monday",H264=2,"Tuesday",H264=3,"Wednesday",H264=4,"Thursday",H264=5,"Friday",H264=6,"Saturday",H264=7,"Sunday")</f>
        <v>Thursday</v>
      </c>
      <c r="C264" s="1">
        <f t="shared" si="24"/>
        <v>45551</v>
      </c>
      <c r="D264" s="1">
        <f t="shared" si="25"/>
        <v>45536</v>
      </c>
      <c r="E264" s="1" cm="1">
        <f t="array" ref="E264">DATE(YEAR(A264),_xlfn.IFS(MONTH(A264)&lt;=3,1,MONTH(A264)&lt;=6,4,MONTH(A264)&lt;=9,7,MONTH(A264)&lt;=12,10),1)</f>
        <v>45474</v>
      </c>
      <c r="F264" s="1">
        <f t="shared" si="26"/>
        <v>45292</v>
      </c>
      <c r="G264">
        <f t="shared" si="27"/>
        <v>9</v>
      </c>
      <c r="H264">
        <f t="shared" si="28"/>
        <v>4</v>
      </c>
      <c r="I264">
        <f t="shared" si="29"/>
        <v>38</v>
      </c>
      <c r="J264" t="str" cm="1">
        <f t="array" ref="J264">_xlfn.IFS(H264&lt;6,"Weekday",H264&gt;5,"Weekend")</f>
        <v>Weekday</v>
      </c>
    </row>
    <row r="265" spans="1:10" x14ac:dyDescent="0.25">
      <c r="A265" s="1">
        <v>45555</v>
      </c>
      <c r="B265" s="1" t="str" cm="1">
        <f t="array" ref="B265">_xlfn.IFS(H265=1,"Monday",H265=2,"Tuesday",H265=3,"Wednesday",H265=4,"Thursday",H265=5,"Friday",H265=6,"Saturday",H265=7,"Sunday")</f>
        <v>Friday</v>
      </c>
      <c r="C265" s="1">
        <f t="shared" si="24"/>
        <v>45551</v>
      </c>
      <c r="D265" s="1">
        <f t="shared" si="25"/>
        <v>45536</v>
      </c>
      <c r="E265" s="1" cm="1">
        <f t="array" ref="E265">DATE(YEAR(A265),_xlfn.IFS(MONTH(A265)&lt;=3,1,MONTH(A265)&lt;=6,4,MONTH(A265)&lt;=9,7,MONTH(A265)&lt;=12,10),1)</f>
        <v>45474</v>
      </c>
      <c r="F265" s="1">
        <f t="shared" si="26"/>
        <v>45292</v>
      </c>
      <c r="G265">
        <f t="shared" si="27"/>
        <v>9</v>
      </c>
      <c r="H265">
        <f t="shared" si="28"/>
        <v>5</v>
      </c>
      <c r="I265">
        <f t="shared" si="29"/>
        <v>38</v>
      </c>
      <c r="J265" t="str" cm="1">
        <f t="array" ref="J265">_xlfn.IFS(H265&lt;6,"Weekday",H265&gt;5,"Weekend")</f>
        <v>Weekday</v>
      </c>
    </row>
    <row r="266" spans="1:10" x14ac:dyDescent="0.25">
      <c r="A266" s="1">
        <v>45556</v>
      </c>
      <c r="B266" s="1" t="str" cm="1">
        <f t="array" ref="B266">_xlfn.IFS(H266=1,"Monday",H266=2,"Tuesday",H266=3,"Wednesday",H266=4,"Thursday",H266=5,"Friday",H266=6,"Saturday",H266=7,"Sunday")</f>
        <v>Saturday</v>
      </c>
      <c r="C266" s="1">
        <f t="shared" si="24"/>
        <v>45551</v>
      </c>
      <c r="D266" s="1">
        <f t="shared" si="25"/>
        <v>45536</v>
      </c>
      <c r="E266" s="1" cm="1">
        <f t="array" ref="E266">DATE(YEAR(A266),_xlfn.IFS(MONTH(A266)&lt;=3,1,MONTH(A266)&lt;=6,4,MONTH(A266)&lt;=9,7,MONTH(A266)&lt;=12,10),1)</f>
        <v>45474</v>
      </c>
      <c r="F266" s="1">
        <f t="shared" si="26"/>
        <v>45292</v>
      </c>
      <c r="G266">
        <f t="shared" si="27"/>
        <v>9</v>
      </c>
      <c r="H266">
        <f t="shared" si="28"/>
        <v>6</v>
      </c>
      <c r="I266">
        <f t="shared" si="29"/>
        <v>38</v>
      </c>
      <c r="J266" t="str" cm="1">
        <f t="array" ref="J266">_xlfn.IFS(H266&lt;6,"Weekday",H266&gt;5,"Weekend")</f>
        <v>Weekend</v>
      </c>
    </row>
    <row r="267" spans="1:10" x14ac:dyDescent="0.25">
      <c r="A267" s="1">
        <v>45557</v>
      </c>
      <c r="B267" s="1" t="str" cm="1">
        <f t="array" ref="B267">_xlfn.IFS(H267=1,"Monday",H267=2,"Tuesday",H267=3,"Wednesday",H267=4,"Thursday",H267=5,"Friday",H267=6,"Saturday",H267=7,"Sunday")</f>
        <v>Sunday</v>
      </c>
      <c r="C267" s="1">
        <f t="shared" si="24"/>
        <v>45551</v>
      </c>
      <c r="D267" s="1">
        <f t="shared" si="25"/>
        <v>45536</v>
      </c>
      <c r="E267" s="1" cm="1">
        <f t="array" ref="E267">DATE(YEAR(A267),_xlfn.IFS(MONTH(A267)&lt;=3,1,MONTH(A267)&lt;=6,4,MONTH(A267)&lt;=9,7,MONTH(A267)&lt;=12,10),1)</f>
        <v>45474</v>
      </c>
      <c r="F267" s="1">
        <f t="shared" si="26"/>
        <v>45292</v>
      </c>
      <c r="G267">
        <f t="shared" si="27"/>
        <v>9</v>
      </c>
      <c r="H267">
        <f t="shared" si="28"/>
        <v>7</v>
      </c>
      <c r="I267">
        <f t="shared" si="29"/>
        <v>38</v>
      </c>
      <c r="J267" t="str" cm="1">
        <f t="array" ref="J267">_xlfn.IFS(H267&lt;6,"Weekday",H267&gt;5,"Weekend")</f>
        <v>Weekend</v>
      </c>
    </row>
    <row r="268" spans="1:10" x14ac:dyDescent="0.25">
      <c r="A268" s="1">
        <v>45558</v>
      </c>
      <c r="B268" s="1" t="str" cm="1">
        <f t="array" ref="B268">_xlfn.IFS(H268=1,"Monday",H268=2,"Tuesday",H268=3,"Wednesday",H268=4,"Thursday",H268=5,"Friday",H268=6,"Saturday",H268=7,"Sunday")</f>
        <v>Monday</v>
      </c>
      <c r="C268" s="1">
        <f t="shared" si="24"/>
        <v>45558</v>
      </c>
      <c r="D268" s="1">
        <f t="shared" si="25"/>
        <v>45536</v>
      </c>
      <c r="E268" s="1" cm="1">
        <f t="array" ref="E268">DATE(YEAR(A268),_xlfn.IFS(MONTH(A268)&lt;=3,1,MONTH(A268)&lt;=6,4,MONTH(A268)&lt;=9,7,MONTH(A268)&lt;=12,10),1)</f>
        <v>45474</v>
      </c>
      <c r="F268" s="1">
        <f t="shared" si="26"/>
        <v>45292</v>
      </c>
      <c r="G268">
        <f t="shared" si="27"/>
        <v>9</v>
      </c>
      <c r="H268">
        <f t="shared" si="28"/>
        <v>1</v>
      </c>
      <c r="I268">
        <f t="shared" si="29"/>
        <v>39</v>
      </c>
      <c r="J268" t="str" cm="1">
        <f t="array" ref="J268">_xlfn.IFS(H268&lt;6,"Weekday",H268&gt;5,"Weekend")</f>
        <v>Weekday</v>
      </c>
    </row>
    <row r="269" spans="1:10" x14ac:dyDescent="0.25">
      <c r="A269" s="1">
        <v>45559</v>
      </c>
      <c r="B269" s="1" t="str" cm="1">
        <f t="array" ref="B269">_xlfn.IFS(H269=1,"Monday",H269=2,"Tuesday",H269=3,"Wednesday",H269=4,"Thursday",H269=5,"Friday",H269=6,"Saturday",H269=7,"Sunday")</f>
        <v>Tuesday</v>
      </c>
      <c r="C269" s="1">
        <f t="shared" si="24"/>
        <v>45558</v>
      </c>
      <c r="D269" s="1">
        <f t="shared" si="25"/>
        <v>45536</v>
      </c>
      <c r="E269" s="1" cm="1">
        <f t="array" ref="E269">DATE(YEAR(A269),_xlfn.IFS(MONTH(A269)&lt;=3,1,MONTH(A269)&lt;=6,4,MONTH(A269)&lt;=9,7,MONTH(A269)&lt;=12,10),1)</f>
        <v>45474</v>
      </c>
      <c r="F269" s="1">
        <f t="shared" si="26"/>
        <v>45292</v>
      </c>
      <c r="G269">
        <f t="shared" si="27"/>
        <v>9</v>
      </c>
      <c r="H269">
        <f t="shared" si="28"/>
        <v>2</v>
      </c>
      <c r="I269">
        <f t="shared" si="29"/>
        <v>39</v>
      </c>
      <c r="J269" t="str" cm="1">
        <f t="array" ref="J269">_xlfn.IFS(H269&lt;6,"Weekday",H269&gt;5,"Weekend")</f>
        <v>Weekday</v>
      </c>
    </row>
    <row r="270" spans="1:10" x14ac:dyDescent="0.25">
      <c r="A270" s="1">
        <v>45560</v>
      </c>
      <c r="B270" s="1" t="str" cm="1">
        <f t="array" ref="B270">_xlfn.IFS(H270=1,"Monday",H270=2,"Tuesday",H270=3,"Wednesday",H270=4,"Thursday",H270=5,"Friday",H270=6,"Saturday",H270=7,"Sunday")</f>
        <v>Wednesday</v>
      </c>
      <c r="C270" s="1">
        <f t="shared" si="24"/>
        <v>45558</v>
      </c>
      <c r="D270" s="1">
        <f t="shared" si="25"/>
        <v>45536</v>
      </c>
      <c r="E270" s="1" cm="1">
        <f t="array" ref="E270">DATE(YEAR(A270),_xlfn.IFS(MONTH(A270)&lt;=3,1,MONTH(A270)&lt;=6,4,MONTH(A270)&lt;=9,7,MONTH(A270)&lt;=12,10),1)</f>
        <v>45474</v>
      </c>
      <c r="F270" s="1">
        <f t="shared" si="26"/>
        <v>45292</v>
      </c>
      <c r="G270">
        <f t="shared" si="27"/>
        <v>9</v>
      </c>
      <c r="H270">
        <f t="shared" si="28"/>
        <v>3</v>
      </c>
      <c r="I270">
        <f t="shared" si="29"/>
        <v>39</v>
      </c>
      <c r="J270" t="str" cm="1">
        <f t="array" ref="J270">_xlfn.IFS(H270&lt;6,"Weekday",H270&gt;5,"Weekend")</f>
        <v>Weekday</v>
      </c>
    </row>
    <row r="271" spans="1:10" x14ac:dyDescent="0.25">
      <c r="A271" s="1">
        <v>45561</v>
      </c>
      <c r="B271" s="1" t="str" cm="1">
        <f t="array" ref="B271">_xlfn.IFS(H271=1,"Monday",H271=2,"Tuesday",H271=3,"Wednesday",H271=4,"Thursday",H271=5,"Friday",H271=6,"Saturday",H271=7,"Sunday")</f>
        <v>Thursday</v>
      </c>
      <c r="C271" s="1">
        <f t="shared" si="24"/>
        <v>45558</v>
      </c>
      <c r="D271" s="1">
        <f t="shared" si="25"/>
        <v>45536</v>
      </c>
      <c r="E271" s="1" cm="1">
        <f t="array" ref="E271">DATE(YEAR(A271),_xlfn.IFS(MONTH(A271)&lt;=3,1,MONTH(A271)&lt;=6,4,MONTH(A271)&lt;=9,7,MONTH(A271)&lt;=12,10),1)</f>
        <v>45474</v>
      </c>
      <c r="F271" s="1">
        <f t="shared" si="26"/>
        <v>45292</v>
      </c>
      <c r="G271">
        <f t="shared" si="27"/>
        <v>9</v>
      </c>
      <c r="H271">
        <f t="shared" si="28"/>
        <v>4</v>
      </c>
      <c r="I271">
        <f t="shared" si="29"/>
        <v>39</v>
      </c>
      <c r="J271" t="str" cm="1">
        <f t="array" ref="J271">_xlfn.IFS(H271&lt;6,"Weekday",H271&gt;5,"Weekend")</f>
        <v>Weekday</v>
      </c>
    </row>
    <row r="272" spans="1:10" x14ac:dyDescent="0.25">
      <c r="A272" s="1">
        <v>45562</v>
      </c>
      <c r="B272" s="1" t="str" cm="1">
        <f t="array" ref="B272">_xlfn.IFS(H272=1,"Monday",H272=2,"Tuesday",H272=3,"Wednesday",H272=4,"Thursday",H272=5,"Friday",H272=6,"Saturday",H272=7,"Sunday")</f>
        <v>Friday</v>
      </c>
      <c r="C272" s="1">
        <f t="shared" si="24"/>
        <v>45558</v>
      </c>
      <c r="D272" s="1">
        <f t="shared" si="25"/>
        <v>45536</v>
      </c>
      <c r="E272" s="1" cm="1">
        <f t="array" ref="E272">DATE(YEAR(A272),_xlfn.IFS(MONTH(A272)&lt;=3,1,MONTH(A272)&lt;=6,4,MONTH(A272)&lt;=9,7,MONTH(A272)&lt;=12,10),1)</f>
        <v>45474</v>
      </c>
      <c r="F272" s="1">
        <f t="shared" si="26"/>
        <v>45292</v>
      </c>
      <c r="G272">
        <f t="shared" si="27"/>
        <v>9</v>
      </c>
      <c r="H272">
        <f t="shared" si="28"/>
        <v>5</v>
      </c>
      <c r="I272">
        <f t="shared" si="29"/>
        <v>39</v>
      </c>
      <c r="J272" t="str" cm="1">
        <f t="array" ref="J272">_xlfn.IFS(H272&lt;6,"Weekday",H272&gt;5,"Weekend")</f>
        <v>Weekday</v>
      </c>
    </row>
    <row r="273" spans="1:10" x14ac:dyDescent="0.25">
      <c r="A273" s="1">
        <v>45563</v>
      </c>
      <c r="B273" s="1" t="str" cm="1">
        <f t="array" ref="B273">_xlfn.IFS(H273=1,"Monday",H273=2,"Tuesday",H273=3,"Wednesday",H273=4,"Thursday",H273=5,"Friday",H273=6,"Saturday",H273=7,"Sunday")</f>
        <v>Saturday</v>
      </c>
      <c r="C273" s="1">
        <f t="shared" si="24"/>
        <v>45558</v>
      </c>
      <c r="D273" s="1">
        <f t="shared" si="25"/>
        <v>45536</v>
      </c>
      <c r="E273" s="1" cm="1">
        <f t="array" ref="E273">DATE(YEAR(A273),_xlfn.IFS(MONTH(A273)&lt;=3,1,MONTH(A273)&lt;=6,4,MONTH(A273)&lt;=9,7,MONTH(A273)&lt;=12,10),1)</f>
        <v>45474</v>
      </c>
      <c r="F273" s="1">
        <f t="shared" si="26"/>
        <v>45292</v>
      </c>
      <c r="G273">
        <f t="shared" si="27"/>
        <v>9</v>
      </c>
      <c r="H273">
        <f t="shared" si="28"/>
        <v>6</v>
      </c>
      <c r="I273">
        <f t="shared" si="29"/>
        <v>39</v>
      </c>
      <c r="J273" t="str" cm="1">
        <f t="array" ref="J273">_xlfn.IFS(H273&lt;6,"Weekday",H273&gt;5,"Weekend")</f>
        <v>Weekend</v>
      </c>
    </row>
    <row r="274" spans="1:10" x14ac:dyDescent="0.25">
      <c r="A274" s="1">
        <v>45564</v>
      </c>
      <c r="B274" s="1" t="str" cm="1">
        <f t="array" ref="B274">_xlfn.IFS(H274=1,"Monday",H274=2,"Tuesday",H274=3,"Wednesday",H274=4,"Thursday",H274=5,"Friday",H274=6,"Saturday",H274=7,"Sunday")</f>
        <v>Sunday</v>
      </c>
      <c r="C274" s="1">
        <f t="shared" si="24"/>
        <v>45558</v>
      </c>
      <c r="D274" s="1">
        <f t="shared" si="25"/>
        <v>45536</v>
      </c>
      <c r="E274" s="1" cm="1">
        <f t="array" ref="E274">DATE(YEAR(A274),_xlfn.IFS(MONTH(A274)&lt;=3,1,MONTH(A274)&lt;=6,4,MONTH(A274)&lt;=9,7,MONTH(A274)&lt;=12,10),1)</f>
        <v>45474</v>
      </c>
      <c r="F274" s="1">
        <f t="shared" si="26"/>
        <v>45292</v>
      </c>
      <c r="G274">
        <f t="shared" si="27"/>
        <v>9</v>
      </c>
      <c r="H274">
        <f t="shared" si="28"/>
        <v>7</v>
      </c>
      <c r="I274">
        <f t="shared" si="29"/>
        <v>39</v>
      </c>
      <c r="J274" t="str" cm="1">
        <f t="array" ref="J274">_xlfn.IFS(H274&lt;6,"Weekday",H274&gt;5,"Weekend")</f>
        <v>Weekend</v>
      </c>
    </row>
    <row r="275" spans="1:10" x14ac:dyDescent="0.25">
      <c r="A275" s="1">
        <v>45565</v>
      </c>
      <c r="B275" s="1" t="str" cm="1">
        <f t="array" ref="B275">_xlfn.IFS(H275=1,"Monday",H275=2,"Tuesday",H275=3,"Wednesday",H275=4,"Thursday",H275=5,"Friday",H275=6,"Saturday",H275=7,"Sunday")</f>
        <v>Monday</v>
      </c>
      <c r="C275" s="1">
        <f t="shared" si="24"/>
        <v>45565</v>
      </c>
      <c r="D275" s="1">
        <f t="shared" si="25"/>
        <v>45536</v>
      </c>
      <c r="E275" s="1" cm="1">
        <f t="array" ref="E275">DATE(YEAR(A275),_xlfn.IFS(MONTH(A275)&lt;=3,1,MONTH(A275)&lt;=6,4,MONTH(A275)&lt;=9,7,MONTH(A275)&lt;=12,10),1)</f>
        <v>45474</v>
      </c>
      <c r="F275" s="1">
        <f t="shared" si="26"/>
        <v>45292</v>
      </c>
      <c r="G275">
        <f t="shared" si="27"/>
        <v>9</v>
      </c>
      <c r="H275">
        <f t="shared" si="28"/>
        <v>1</v>
      </c>
      <c r="I275">
        <f t="shared" si="29"/>
        <v>40</v>
      </c>
      <c r="J275" t="str" cm="1">
        <f t="array" ref="J275">_xlfn.IFS(H275&lt;6,"Weekday",H275&gt;5,"Weekend")</f>
        <v>Weekday</v>
      </c>
    </row>
    <row r="276" spans="1:10" x14ac:dyDescent="0.25">
      <c r="A276" s="1">
        <v>45566</v>
      </c>
      <c r="B276" s="1" t="str" cm="1">
        <f t="array" ref="B276">_xlfn.IFS(H276=1,"Monday",H276=2,"Tuesday",H276=3,"Wednesday",H276=4,"Thursday",H276=5,"Friday",H276=6,"Saturday",H276=7,"Sunday")</f>
        <v>Tuesday</v>
      </c>
      <c r="C276" s="1">
        <f t="shared" si="24"/>
        <v>45565</v>
      </c>
      <c r="D276" s="1">
        <f t="shared" si="25"/>
        <v>45566</v>
      </c>
      <c r="E276" s="1" cm="1">
        <f t="array" ref="E276">DATE(YEAR(A276),_xlfn.IFS(MONTH(A276)&lt;=3,1,MONTH(A276)&lt;=6,4,MONTH(A276)&lt;=9,7,MONTH(A276)&lt;=12,10),1)</f>
        <v>45566</v>
      </c>
      <c r="F276" s="1">
        <f t="shared" si="26"/>
        <v>45292</v>
      </c>
      <c r="G276">
        <f t="shared" si="27"/>
        <v>10</v>
      </c>
      <c r="H276">
        <f t="shared" si="28"/>
        <v>2</v>
      </c>
      <c r="I276">
        <f t="shared" si="29"/>
        <v>40</v>
      </c>
      <c r="J276" t="str" cm="1">
        <f t="array" ref="J276">_xlfn.IFS(H276&lt;6,"Weekday",H276&gt;5,"Weekend")</f>
        <v>Weekday</v>
      </c>
    </row>
    <row r="277" spans="1:10" x14ac:dyDescent="0.25">
      <c r="A277" s="1">
        <v>45567</v>
      </c>
      <c r="B277" s="1" t="str" cm="1">
        <f t="array" ref="B277">_xlfn.IFS(H277=1,"Monday",H277=2,"Tuesday",H277=3,"Wednesday",H277=4,"Thursday",H277=5,"Friday",H277=6,"Saturday",H277=7,"Sunday")</f>
        <v>Wednesday</v>
      </c>
      <c r="C277" s="1">
        <f t="shared" si="24"/>
        <v>45565</v>
      </c>
      <c r="D277" s="1">
        <f t="shared" si="25"/>
        <v>45566</v>
      </c>
      <c r="E277" s="1" cm="1">
        <f t="array" ref="E277">DATE(YEAR(A277),_xlfn.IFS(MONTH(A277)&lt;=3,1,MONTH(A277)&lt;=6,4,MONTH(A277)&lt;=9,7,MONTH(A277)&lt;=12,10),1)</f>
        <v>45566</v>
      </c>
      <c r="F277" s="1">
        <f t="shared" si="26"/>
        <v>45292</v>
      </c>
      <c r="G277">
        <f t="shared" si="27"/>
        <v>10</v>
      </c>
      <c r="H277">
        <f t="shared" si="28"/>
        <v>3</v>
      </c>
      <c r="I277">
        <f t="shared" si="29"/>
        <v>40</v>
      </c>
      <c r="J277" t="str" cm="1">
        <f t="array" ref="J277">_xlfn.IFS(H277&lt;6,"Weekday",H277&gt;5,"Weekend")</f>
        <v>Weekday</v>
      </c>
    </row>
    <row r="278" spans="1:10" x14ac:dyDescent="0.25">
      <c r="A278" s="1">
        <v>45568</v>
      </c>
      <c r="B278" s="1" t="str" cm="1">
        <f t="array" ref="B278">_xlfn.IFS(H278=1,"Monday",H278=2,"Tuesday",H278=3,"Wednesday",H278=4,"Thursday",H278=5,"Friday",H278=6,"Saturday",H278=7,"Sunday")</f>
        <v>Thursday</v>
      </c>
      <c r="C278" s="1">
        <f t="shared" si="24"/>
        <v>45565</v>
      </c>
      <c r="D278" s="1">
        <f t="shared" si="25"/>
        <v>45566</v>
      </c>
      <c r="E278" s="1" cm="1">
        <f t="array" ref="E278">DATE(YEAR(A278),_xlfn.IFS(MONTH(A278)&lt;=3,1,MONTH(A278)&lt;=6,4,MONTH(A278)&lt;=9,7,MONTH(A278)&lt;=12,10),1)</f>
        <v>45566</v>
      </c>
      <c r="F278" s="1">
        <f t="shared" si="26"/>
        <v>45292</v>
      </c>
      <c r="G278">
        <f t="shared" si="27"/>
        <v>10</v>
      </c>
      <c r="H278">
        <f t="shared" si="28"/>
        <v>4</v>
      </c>
      <c r="I278">
        <f t="shared" si="29"/>
        <v>40</v>
      </c>
      <c r="J278" t="str" cm="1">
        <f t="array" ref="J278">_xlfn.IFS(H278&lt;6,"Weekday",H278&gt;5,"Weekend")</f>
        <v>Weekday</v>
      </c>
    </row>
    <row r="279" spans="1:10" x14ac:dyDescent="0.25">
      <c r="A279" s="1">
        <v>45569</v>
      </c>
      <c r="B279" s="1" t="str" cm="1">
        <f t="array" ref="B279">_xlfn.IFS(H279=1,"Monday",H279=2,"Tuesday",H279=3,"Wednesday",H279=4,"Thursday",H279=5,"Friday",H279=6,"Saturday",H279=7,"Sunday")</f>
        <v>Friday</v>
      </c>
      <c r="C279" s="1">
        <f t="shared" si="24"/>
        <v>45565</v>
      </c>
      <c r="D279" s="1">
        <f t="shared" si="25"/>
        <v>45566</v>
      </c>
      <c r="E279" s="1" cm="1">
        <f t="array" ref="E279">DATE(YEAR(A279),_xlfn.IFS(MONTH(A279)&lt;=3,1,MONTH(A279)&lt;=6,4,MONTH(A279)&lt;=9,7,MONTH(A279)&lt;=12,10),1)</f>
        <v>45566</v>
      </c>
      <c r="F279" s="1">
        <f t="shared" si="26"/>
        <v>45292</v>
      </c>
      <c r="G279">
        <f t="shared" si="27"/>
        <v>10</v>
      </c>
      <c r="H279">
        <f t="shared" si="28"/>
        <v>5</v>
      </c>
      <c r="I279">
        <f t="shared" si="29"/>
        <v>40</v>
      </c>
      <c r="J279" t="str" cm="1">
        <f t="array" ref="J279">_xlfn.IFS(H279&lt;6,"Weekday",H279&gt;5,"Weekend")</f>
        <v>Weekday</v>
      </c>
    </row>
    <row r="280" spans="1:10" x14ac:dyDescent="0.25">
      <c r="A280" s="1">
        <v>45570</v>
      </c>
      <c r="B280" s="1" t="str" cm="1">
        <f t="array" ref="B280">_xlfn.IFS(H280=1,"Monday",H280=2,"Tuesday",H280=3,"Wednesday",H280=4,"Thursday",H280=5,"Friday",H280=6,"Saturday",H280=7,"Sunday")</f>
        <v>Saturday</v>
      </c>
      <c r="C280" s="1">
        <f t="shared" si="24"/>
        <v>45565</v>
      </c>
      <c r="D280" s="1">
        <f t="shared" si="25"/>
        <v>45566</v>
      </c>
      <c r="E280" s="1" cm="1">
        <f t="array" ref="E280">DATE(YEAR(A280),_xlfn.IFS(MONTH(A280)&lt;=3,1,MONTH(A280)&lt;=6,4,MONTH(A280)&lt;=9,7,MONTH(A280)&lt;=12,10),1)</f>
        <v>45566</v>
      </c>
      <c r="F280" s="1">
        <f t="shared" si="26"/>
        <v>45292</v>
      </c>
      <c r="G280">
        <f t="shared" si="27"/>
        <v>10</v>
      </c>
      <c r="H280">
        <f t="shared" si="28"/>
        <v>6</v>
      </c>
      <c r="I280">
        <f t="shared" si="29"/>
        <v>40</v>
      </c>
      <c r="J280" t="str" cm="1">
        <f t="array" ref="J280">_xlfn.IFS(H280&lt;6,"Weekday",H280&gt;5,"Weekend")</f>
        <v>Weekend</v>
      </c>
    </row>
    <row r="281" spans="1:10" x14ac:dyDescent="0.25">
      <c r="A281" s="1">
        <v>45571</v>
      </c>
      <c r="B281" s="1" t="str" cm="1">
        <f t="array" ref="B281">_xlfn.IFS(H281=1,"Monday",H281=2,"Tuesday",H281=3,"Wednesday",H281=4,"Thursday",H281=5,"Friday",H281=6,"Saturday",H281=7,"Sunday")</f>
        <v>Sunday</v>
      </c>
      <c r="C281" s="1">
        <f t="shared" si="24"/>
        <v>45565</v>
      </c>
      <c r="D281" s="1">
        <f t="shared" si="25"/>
        <v>45566</v>
      </c>
      <c r="E281" s="1" cm="1">
        <f t="array" ref="E281">DATE(YEAR(A281),_xlfn.IFS(MONTH(A281)&lt;=3,1,MONTH(A281)&lt;=6,4,MONTH(A281)&lt;=9,7,MONTH(A281)&lt;=12,10),1)</f>
        <v>45566</v>
      </c>
      <c r="F281" s="1">
        <f t="shared" si="26"/>
        <v>45292</v>
      </c>
      <c r="G281">
        <f t="shared" si="27"/>
        <v>10</v>
      </c>
      <c r="H281">
        <f t="shared" si="28"/>
        <v>7</v>
      </c>
      <c r="I281">
        <f t="shared" si="29"/>
        <v>40</v>
      </c>
      <c r="J281" t="str" cm="1">
        <f t="array" ref="J281">_xlfn.IFS(H281&lt;6,"Weekday",H281&gt;5,"Weekend")</f>
        <v>Weekend</v>
      </c>
    </row>
    <row r="282" spans="1:10" x14ac:dyDescent="0.25">
      <c r="A282" s="1">
        <v>45572</v>
      </c>
      <c r="B282" s="1" t="str" cm="1">
        <f t="array" ref="B282">_xlfn.IFS(H282=1,"Monday",H282=2,"Tuesday",H282=3,"Wednesday",H282=4,"Thursday",H282=5,"Friday",H282=6,"Saturday",H282=7,"Sunday")</f>
        <v>Monday</v>
      </c>
      <c r="C282" s="1">
        <f t="shared" si="24"/>
        <v>45572</v>
      </c>
      <c r="D282" s="1">
        <f t="shared" si="25"/>
        <v>45566</v>
      </c>
      <c r="E282" s="1" cm="1">
        <f t="array" ref="E282">DATE(YEAR(A282),_xlfn.IFS(MONTH(A282)&lt;=3,1,MONTH(A282)&lt;=6,4,MONTH(A282)&lt;=9,7,MONTH(A282)&lt;=12,10),1)</f>
        <v>45566</v>
      </c>
      <c r="F282" s="1">
        <f t="shared" si="26"/>
        <v>45292</v>
      </c>
      <c r="G282">
        <f t="shared" si="27"/>
        <v>10</v>
      </c>
      <c r="H282">
        <f t="shared" si="28"/>
        <v>1</v>
      </c>
      <c r="I282">
        <f t="shared" si="29"/>
        <v>41</v>
      </c>
      <c r="J282" t="str" cm="1">
        <f t="array" ref="J282">_xlfn.IFS(H282&lt;6,"Weekday",H282&gt;5,"Weekend")</f>
        <v>Weekday</v>
      </c>
    </row>
    <row r="283" spans="1:10" x14ac:dyDescent="0.25">
      <c r="A283" s="1">
        <v>45573</v>
      </c>
      <c r="B283" s="1" t="str" cm="1">
        <f t="array" ref="B283">_xlfn.IFS(H283=1,"Monday",H283=2,"Tuesday",H283=3,"Wednesday",H283=4,"Thursday",H283=5,"Friday",H283=6,"Saturday",H283=7,"Sunday")</f>
        <v>Tuesday</v>
      </c>
      <c r="C283" s="1">
        <f t="shared" si="24"/>
        <v>45572</v>
      </c>
      <c r="D283" s="1">
        <f t="shared" si="25"/>
        <v>45566</v>
      </c>
      <c r="E283" s="1" cm="1">
        <f t="array" ref="E283">DATE(YEAR(A283),_xlfn.IFS(MONTH(A283)&lt;=3,1,MONTH(A283)&lt;=6,4,MONTH(A283)&lt;=9,7,MONTH(A283)&lt;=12,10),1)</f>
        <v>45566</v>
      </c>
      <c r="F283" s="1">
        <f t="shared" si="26"/>
        <v>45292</v>
      </c>
      <c r="G283">
        <f t="shared" si="27"/>
        <v>10</v>
      </c>
      <c r="H283">
        <f t="shared" si="28"/>
        <v>2</v>
      </c>
      <c r="I283">
        <f t="shared" si="29"/>
        <v>41</v>
      </c>
      <c r="J283" t="str" cm="1">
        <f t="array" ref="J283">_xlfn.IFS(H283&lt;6,"Weekday",H283&gt;5,"Weekend")</f>
        <v>Weekday</v>
      </c>
    </row>
    <row r="284" spans="1:10" x14ac:dyDescent="0.25">
      <c r="A284" s="1">
        <v>45574</v>
      </c>
      <c r="B284" s="1" t="str" cm="1">
        <f t="array" ref="B284">_xlfn.IFS(H284=1,"Monday",H284=2,"Tuesday",H284=3,"Wednesday",H284=4,"Thursday",H284=5,"Friday",H284=6,"Saturday",H284=7,"Sunday")</f>
        <v>Wednesday</v>
      </c>
      <c r="C284" s="1">
        <f t="shared" si="24"/>
        <v>45572</v>
      </c>
      <c r="D284" s="1">
        <f t="shared" si="25"/>
        <v>45566</v>
      </c>
      <c r="E284" s="1" cm="1">
        <f t="array" ref="E284">DATE(YEAR(A284),_xlfn.IFS(MONTH(A284)&lt;=3,1,MONTH(A284)&lt;=6,4,MONTH(A284)&lt;=9,7,MONTH(A284)&lt;=12,10),1)</f>
        <v>45566</v>
      </c>
      <c r="F284" s="1">
        <f t="shared" si="26"/>
        <v>45292</v>
      </c>
      <c r="G284">
        <f t="shared" si="27"/>
        <v>10</v>
      </c>
      <c r="H284">
        <f t="shared" si="28"/>
        <v>3</v>
      </c>
      <c r="I284">
        <f t="shared" si="29"/>
        <v>41</v>
      </c>
      <c r="J284" t="str" cm="1">
        <f t="array" ref="J284">_xlfn.IFS(H284&lt;6,"Weekday",H284&gt;5,"Weekend")</f>
        <v>Weekday</v>
      </c>
    </row>
    <row r="285" spans="1:10" x14ac:dyDescent="0.25">
      <c r="A285" s="1">
        <v>45575</v>
      </c>
      <c r="B285" s="1" t="str" cm="1">
        <f t="array" ref="B285">_xlfn.IFS(H285=1,"Monday",H285=2,"Tuesday",H285=3,"Wednesday",H285=4,"Thursday",H285=5,"Friday",H285=6,"Saturday",H285=7,"Sunday")</f>
        <v>Thursday</v>
      </c>
      <c r="C285" s="1">
        <f t="shared" si="24"/>
        <v>45572</v>
      </c>
      <c r="D285" s="1">
        <f t="shared" si="25"/>
        <v>45566</v>
      </c>
      <c r="E285" s="1" cm="1">
        <f t="array" ref="E285">DATE(YEAR(A285),_xlfn.IFS(MONTH(A285)&lt;=3,1,MONTH(A285)&lt;=6,4,MONTH(A285)&lt;=9,7,MONTH(A285)&lt;=12,10),1)</f>
        <v>45566</v>
      </c>
      <c r="F285" s="1">
        <f t="shared" si="26"/>
        <v>45292</v>
      </c>
      <c r="G285">
        <f t="shared" si="27"/>
        <v>10</v>
      </c>
      <c r="H285">
        <f t="shared" si="28"/>
        <v>4</v>
      </c>
      <c r="I285">
        <f t="shared" si="29"/>
        <v>41</v>
      </c>
      <c r="J285" t="str" cm="1">
        <f t="array" ref="J285">_xlfn.IFS(H285&lt;6,"Weekday",H285&gt;5,"Weekend")</f>
        <v>Weekday</v>
      </c>
    </row>
    <row r="286" spans="1:10" x14ac:dyDescent="0.25">
      <c r="A286" s="1">
        <v>45576</v>
      </c>
      <c r="B286" s="1" t="str" cm="1">
        <f t="array" ref="B286">_xlfn.IFS(H286=1,"Monday",H286=2,"Tuesday",H286=3,"Wednesday",H286=4,"Thursday",H286=5,"Friday",H286=6,"Saturday",H286=7,"Sunday")</f>
        <v>Friday</v>
      </c>
      <c r="C286" s="1">
        <f t="shared" si="24"/>
        <v>45572</v>
      </c>
      <c r="D286" s="1">
        <f t="shared" si="25"/>
        <v>45566</v>
      </c>
      <c r="E286" s="1" cm="1">
        <f t="array" ref="E286">DATE(YEAR(A286),_xlfn.IFS(MONTH(A286)&lt;=3,1,MONTH(A286)&lt;=6,4,MONTH(A286)&lt;=9,7,MONTH(A286)&lt;=12,10),1)</f>
        <v>45566</v>
      </c>
      <c r="F286" s="1">
        <f t="shared" si="26"/>
        <v>45292</v>
      </c>
      <c r="G286">
        <f t="shared" si="27"/>
        <v>10</v>
      </c>
      <c r="H286">
        <f t="shared" si="28"/>
        <v>5</v>
      </c>
      <c r="I286">
        <f t="shared" si="29"/>
        <v>41</v>
      </c>
      <c r="J286" t="str" cm="1">
        <f t="array" ref="J286">_xlfn.IFS(H286&lt;6,"Weekday",H286&gt;5,"Weekend")</f>
        <v>Weekday</v>
      </c>
    </row>
    <row r="287" spans="1:10" x14ac:dyDescent="0.25">
      <c r="A287" s="1">
        <v>45577</v>
      </c>
      <c r="B287" s="1" t="str" cm="1">
        <f t="array" ref="B287">_xlfn.IFS(H287=1,"Monday",H287=2,"Tuesday",H287=3,"Wednesday",H287=4,"Thursday",H287=5,"Friday",H287=6,"Saturday",H287=7,"Sunday")</f>
        <v>Saturday</v>
      </c>
      <c r="C287" s="1">
        <f t="shared" si="24"/>
        <v>45572</v>
      </c>
      <c r="D287" s="1">
        <f t="shared" si="25"/>
        <v>45566</v>
      </c>
      <c r="E287" s="1" cm="1">
        <f t="array" ref="E287">DATE(YEAR(A287),_xlfn.IFS(MONTH(A287)&lt;=3,1,MONTH(A287)&lt;=6,4,MONTH(A287)&lt;=9,7,MONTH(A287)&lt;=12,10),1)</f>
        <v>45566</v>
      </c>
      <c r="F287" s="1">
        <f t="shared" si="26"/>
        <v>45292</v>
      </c>
      <c r="G287">
        <f t="shared" si="27"/>
        <v>10</v>
      </c>
      <c r="H287">
        <f t="shared" si="28"/>
        <v>6</v>
      </c>
      <c r="I287">
        <f t="shared" si="29"/>
        <v>41</v>
      </c>
      <c r="J287" t="str" cm="1">
        <f t="array" ref="J287">_xlfn.IFS(H287&lt;6,"Weekday",H287&gt;5,"Weekend")</f>
        <v>Weekend</v>
      </c>
    </row>
    <row r="288" spans="1:10" x14ac:dyDescent="0.25">
      <c r="A288" s="1">
        <v>45578</v>
      </c>
      <c r="B288" s="1" t="str" cm="1">
        <f t="array" ref="B288">_xlfn.IFS(H288=1,"Monday",H288=2,"Tuesday",H288=3,"Wednesday",H288=4,"Thursday",H288=5,"Friday",H288=6,"Saturday",H288=7,"Sunday")</f>
        <v>Sunday</v>
      </c>
      <c r="C288" s="1">
        <f t="shared" si="24"/>
        <v>45572</v>
      </c>
      <c r="D288" s="1">
        <f t="shared" si="25"/>
        <v>45566</v>
      </c>
      <c r="E288" s="1" cm="1">
        <f t="array" ref="E288">DATE(YEAR(A288),_xlfn.IFS(MONTH(A288)&lt;=3,1,MONTH(A288)&lt;=6,4,MONTH(A288)&lt;=9,7,MONTH(A288)&lt;=12,10),1)</f>
        <v>45566</v>
      </c>
      <c r="F288" s="1">
        <f t="shared" si="26"/>
        <v>45292</v>
      </c>
      <c r="G288">
        <f t="shared" si="27"/>
        <v>10</v>
      </c>
      <c r="H288">
        <f t="shared" si="28"/>
        <v>7</v>
      </c>
      <c r="I288">
        <f t="shared" si="29"/>
        <v>41</v>
      </c>
      <c r="J288" t="str" cm="1">
        <f t="array" ref="J288">_xlfn.IFS(H288&lt;6,"Weekday",H288&gt;5,"Weekend")</f>
        <v>Weekend</v>
      </c>
    </row>
    <row r="289" spans="1:10" x14ac:dyDescent="0.25">
      <c r="A289" s="1">
        <v>45579</v>
      </c>
      <c r="B289" s="1" t="str" cm="1">
        <f t="array" ref="B289">_xlfn.IFS(H289=1,"Monday",H289=2,"Tuesday",H289=3,"Wednesday",H289=4,"Thursday",H289=5,"Friday",H289=6,"Saturday",H289=7,"Sunday")</f>
        <v>Monday</v>
      </c>
      <c r="C289" s="1">
        <f t="shared" si="24"/>
        <v>45579</v>
      </c>
      <c r="D289" s="1">
        <f t="shared" si="25"/>
        <v>45566</v>
      </c>
      <c r="E289" s="1" cm="1">
        <f t="array" ref="E289">DATE(YEAR(A289),_xlfn.IFS(MONTH(A289)&lt;=3,1,MONTH(A289)&lt;=6,4,MONTH(A289)&lt;=9,7,MONTH(A289)&lt;=12,10),1)</f>
        <v>45566</v>
      </c>
      <c r="F289" s="1">
        <f t="shared" si="26"/>
        <v>45292</v>
      </c>
      <c r="G289">
        <f t="shared" si="27"/>
        <v>10</v>
      </c>
      <c r="H289">
        <f t="shared" si="28"/>
        <v>1</v>
      </c>
      <c r="I289">
        <f t="shared" si="29"/>
        <v>42</v>
      </c>
      <c r="J289" t="str" cm="1">
        <f t="array" ref="J289">_xlfn.IFS(H289&lt;6,"Weekday",H289&gt;5,"Weekend")</f>
        <v>Weekday</v>
      </c>
    </row>
    <row r="290" spans="1:10" x14ac:dyDescent="0.25">
      <c r="A290" s="1">
        <v>45580</v>
      </c>
      <c r="B290" s="1" t="str" cm="1">
        <f t="array" ref="B290">_xlfn.IFS(H290=1,"Monday",H290=2,"Tuesday",H290=3,"Wednesday",H290=4,"Thursday",H290=5,"Friday",H290=6,"Saturday",H290=7,"Sunday")</f>
        <v>Tuesday</v>
      </c>
      <c r="C290" s="1">
        <f t="shared" si="24"/>
        <v>45579</v>
      </c>
      <c r="D290" s="1">
        <f t="shared" si="25"/>
        <v>45566</v>
      </c>
      <c r="E290" s="1" cm="1">
        <f t="array" ref="E290">DATE(YEAR(A290),_xlfn.IFS(MONTH(A290)&lt;=3,1,MONTH(A290)&lt;=6,4,MONTH(A290)&lt;=9,7,MONTH(A290)&lt;=12,10),1)</f>
        <v>45566</v>
      </c>
      <c r="F290" s="1">
        <f t="shared" si="26"/>
        <v>45292</v>
      </c>
      <c r="G290">
        <f t="shared" si="27"/>
        <v>10</v>
      </c>
      <c r="H290">
        <f t="shared" si="28"/>
        <v>2</v>
      </c>
      <c r="I290">
        <f t="shared" si="29"/>
        <v>42</v>
      </c>
      <c r="J290" t="str" cm="1">
        <f t="array" ref="J290">_xlfn.IFS(H290&lt;6,"Weekday",H290&gt;5,"Weekend")</f>
        <v>Weekday</v>
      </c>
    </row>
    <row r="291" spans="1:10" x14ac:dyDescent="0.25">
      <c r="A291" s="1">
        <v>45581</v>
      </c>
      <c r="B291" s="1" t="str" cm="1">
        <f t="array" ref="B291">_xlfn.IFS(H291=1,"Monday",H291=2,"Tuesday",H291=3,"Wednesday",H291=4,"Thursday",H291=5,"Friday",H291=6,"Saturday",H291=7,"Sunday")</f>
        <v>Wednesday</v>
      </c>
      <c r="C291" s="1">
        <f t="shared" si="24"/>
        <v>45579</v>
      </c>
      <c r="D291" s="1">
        <f t="shared" si="25"/>
        <v>45566</v>
      </c>
      <c r="E291" s="1" cm="1">
        <f t="array" ref="E291">DATE(YEAR(A291),_xlfn.IFS(MONTH(A291)&lt;=3,1,MONTH(A291)&lt;=6,4,MONTH(A291)&lt;=9,7,MONTH(A291)&lt;=12,10),1)</f>
        <v>45566</v>
      </c>
      <c r="F291" s="1">
        <f t="shared" si="26"/>
        <v>45292</v>
      </c>
      <c r="G291">
        <f t="shared" si="27"/>
        <v>10</v>
      </c>
      <c r="H291">
        <f t="shared" si="28"/>
        <v>3</v>
      </c>
      <c r="I291">
        <f t="shared" si="29"/>
        <v>42</v>
      </c>
      <c r="J291" t="str" cm="1">
        <f t="array" ref="J291">_xlfn.IFS(H291&lt;6,"Weekday",H291&gt;5,"Weekend")</f>
        <v>Weekday</v>
      </c>
    </row>
    <row r="292" spans="1:10" x14ac:dyDescent="0.25">
      <c r="A292" s="1">
        <v>45582</v>
      </c>
      <c r="B292" s="1" t="str" cm="1">
        <f t="array" ref="B292">_xlfn.IFS(H292=1,"Monday",H292=2,"Tuesday",H292=3,"Wednesday",H292=4,"Thursday",H292=5,"Friday",H292=6,"Saturday",H292=7,"Sunday")</f>
        <v>Thursday</v>
      </c>
      <c r="C292" s="1">
        <f t="shared" si="24"/>
        <v>45579</v>
      </c>
      <c r="D292" s="1">
        <f t="shared" si="25"/>
        <v>45566</v>
      </c>
      <c r="E292" s="1" cm="1">
        <f t="array" ref="E292">DATE(YEAR(A292),_xlfn.IFS(MONTH(A292)&lt;=3,1,MONTH(A292)&lt;=6,4,MONTH(A292)&lt;=9,7,MONTH(A292)&lt;=12,10),1)</f>
        <v>45566</v>
      </c>
      <c r="F292" s="1">
        <f t="shared" si="26"/>
        <v>45292</v>
      </c>
      <c r="G292">
        <f t="shared" si="27"/>
        <v>10</v>
      </c>
      <c r="H292">
        <f t="shared" si="28"/>
        <v>4</v>
      </c>
      <c r="I292">
        <f t="shared" si="29"/>
        <v>42</v>
      </c>
      <c r="J292" t="str" cm="1">
        <f t="array" ref="J292">_xlfn.IFS(H292&lt;6,"Weekday",H292&gt;5,"Weekend")</f>
        <v>Weekday</v>
      </c>
    </row>
    <row r="293" spans="1:10" x14ac:dyDescent="0.25">
      <c r="A293" s="1">
        <v>45583</v>
      </c>
      <c r="B293" s="1" t="str" cm="1">
        <f t="array" ref="B293">_xlfn.IFS(H293=1,"Monday",H293=2,"Tuesday",H293=3,"Wednesday",H293=4,"Thursday",H293=5,"Friday",H293=6,"Saturday",H293=7,"Sunday")</f>
        <v>Friday</v>
      </c>
      <c r="C293" s="1">
        <f t="shared" si="24"/>
        <v>45579</v>
      </c>
      <c r="D293" s="1">
        <f t="shared" si="25"/>
        <v>45566</v>
      </c>
      <c r="E293" s="1" cm="1">
        <f t="array" ref="E293">DATE(YEAR(A293),_xlfn.IFS(MONTH(A293)&lt;=3,1,MONTH(A293)&lt;=6,4,MONTH(A293)&lt;=9,7,MONTH(A293)&lt;=12,10),1)</f>
        <v>45566</v>
      </c>
      <c r="F293" s="1">
        <f t="shared" si="26"/>
        <v>45292</v>
      </c>
      <c r="G293">
        <f t="shared" si="27"/>
        <v>10</v>
      </c>
      <c r="H293">
        <f t="shared" si="28"/>
        <v>5</v>
      </c>
      <c r="I293">
        <f t="shared" si="29"/>
        <v>42</v>
      </c>
      <c r="J293" t="str" cm="1">
        <f t="array" ref="J293">_xlfn.IFS(H293&lt;6,"Weekday",H293&gt;5,"Weekend")</f>
        <v>Weekday</v>
      </c>
    </row>
    <row r="294" spans="1:10" x14ac:dyDescent="0.25">
      <c r="A294" s="1">
        <v>45584</v>
      </c>
      <c r="B294" s="1" t="str" cm="1">
        <f t="array" ref="B294">_xlfn.IFS(H294=1,"Monday",H294=2,"Tuesday",H294=3,"Wednesday",H294=4,"Thursday",H294=5,"Friday",H294=6,"Saturday",H294=7,"Sunday")</f>
        <v>Saturday</v>
      </c>
      <c r="C294" s="1">
        <f t="shared" si="24"/>
        <v>45579</v>
      </c>
      <c r="D294" s="1">
        <f t="shared" si="25"/>
        <v>45566</v>
      </c>
      <c r="E294" s="1" cm="1">
        <f t="array" ref="E294">DATE(YEAR(A294),_xlfn.IFS(MONTH(A294)&lt;=3,1,MONTH(A294)&lt;=6,4,MONTH(A294)&lt;=9,7,MONTH(A294)&lt;=12,10),1)</f>
        <v>45566</v>
      </c>
      <c r="F294" s="1">
        <f t="shared" si="26"/>
        <v>45292</v>
      </c>
      <c r="G294">
        <f t="shared" si="27"/>
        <v>10</v>
      </c>
      <c r="H294">
        <f t="shared" si="28"/>
        <v>6</v>
      </c>
      <c r="I294">
        <f t="shared" si="29"/>
        <v>42</v>
      </c>
      <c r="J294" t="str" cm="1">
        <f t="array" ref="J294">_xlfn.IFS(H294&lt;6,"Weekday",H294&gt;5,"Weekend")</f>
        <v>Weekend</v>
      </c>
    </row>
    <row r="295" spans="1:10" x14ac:dyDescent="0.25">
      <c r="A295" s="1">
        <v>45585</v>
      </c>
      <c r="B295" s="1" t="str" cm="1">
        <f t="array" ref="B295">_xlfn.IFS(H295=1,"Monday",H295=2,"Tuesday",H295=3,"Wednesday",H295=4,"Thursday",H295=5,"Friday",H295=6,"Saturday",H295=7,"Sunday")</f>
        <v>Sunday</v>
      </c>
      <c r="C295" s="1">
        <f t="shared" si="24"/>
        <v>45579</v>
      </c>
      <c r="D295" s="1">
        <f t="shared" si="25"/>
        <v>45566</v>
      </c>
      <c r="E295" s="1" cm="1">
        <f t="array" ref="E295">DATE(YEAR(A295),_xlfn.IFS(MONTH(A295)&lt;=3,1,MONTH(A295)&lt;=6,4,MONTH(A295)&lt;=9,7,MONTH(A295)&lt;=12,10),1)</f>
        <v>45566</v>
      </c>
      <c r="F295" s="1">
        <f t="shared" si="26"/>
        <v>45292</v>
      </c>
      <c r="G295">
        <f t="shared" si="27"/>
        <v>10</v>
      </c>
      <c r="H295">
        <f t="shared" si="28"/>
        <v>7</v>
      </c>
      <c r="I295">
        <f t="shared" si="29"/>
        <v>42</v>
      </c>
      <c r="J295" t="str" cm="1">
        <f t="array" ref="J295">_xlfn.IFS(H295&lt;6,"Weekday",H295&gt;5,"Weekend")</f>
        <v>Weekend</v>
      </c>
    </row>
    <row r="296" spans="1:10" x14ac:dyDescent="0.25">
      <c r="A296" s="1">
        <v>45586</v>
      </c>
      <c r="B296" s="1" t="str" cm="1">
        <f t="array" ref="B296">_xlfn.IFS(H296=1,"Monday",H296=2,"Tuesday",H296=3,"Wednesday",H296=4,"Thursday",H296=5,"Friday",H296=6,"Saturday",H296=7,"Sunday")</f>
        <v>Monday</v>
      </c>
      <c r="C296" s="1">
        <f t="shared" si="24"/>
        <v>45586</v>
      </c>
      <c r="D296" s="1">
        <f t="shared" si="25"/>
        <v>45566</v>
      </c>
      <c r="E296" s="1" cm="1">
        <f t="array" ref="E296">DATE(YEAR(A296),_xlfn.IFS(MONTH(A296)&lt;=3,1,MONTH(A296)&lt;=6,4,MONTH(A296)&lt;=9,7,MONTH(A296)&lt;=12,10),1)</f>
        <v>45566</v>
      </c>
      <c r="F296" s="1">
        <f t="shared" si="26"/>
        <v>45292</v>
      </c>
      <c r="G296">
        <f t="shared" si="27"/>
        <v>10</v>
      </c>
      <c r="H296">
        <f t="shared" si="28"/>
        <v>1</v>
      </c>
      <c r="I296">
        <f t="shared" si="29"/>
        <v>43</v>
      </c>
      <c r="J296" t="str" cm="1">
        <f t="array" ref="J296">_xlfn.IFS(H296&lt;6,"Weekday",H296&gt;5,"Weekend")</f>
        <v>Weekday</v>
      </c>
    </row>
    <row r="297" spans="1:10" x14ac:dyDescent="0.25">
      <c r="A297" s="1">
        <v>45587</v>
      </c>
      <c r="B297" s="1" t="str" cm="1">
        <f t="array" ref="B297">_xlfn.IFS(H297=1,"Monday",H297=2,"Tuesday",H297=3,"Wednesday",H297=4,"Thursday",H297=5,"Friday",H297=6,"Saturday",H297=7,"Sunday")</f>
        <v>Tuesday</v>
      </c>
      <c r="C297" s="1">
        <f t="shared" si="24"/>
        <v>45586</v>
      </c>
      <c r="D297" s="1">
        <f t="shared" si="25"/>
        <v>45566</v>
      </c>
      <c r="E297" s="1" cm="1">
        <f t="array" ref="E297">DATE(YEAR(A297),_xlfn.IFS(MONTH(A297)&lt;=3,1,MONTH(A297)&lt;=6,4,MONTH(A297)&lt;=9,7,MONTH(A297)&lt;=12,10),1)</f>
        <v>45566</v>
      </c>
      <c r="F297" s="1">
        <f t="shared" si="26"/>
        <v>45292</v>
      </c>
      <c r="G297">
        <f t="shared" si="27"/>
        <v>10</v>
      </c>
      <c r="H297">
        <f t="shared" si="28"/>
        <v>2</v>
      </c>
      <c r="I297">
        <f t="shared" si="29"/>
        <v>43</v>
      </c>
      <c r="J297" t="str" cm="1">
        <f t="array" ref="J297">_xlfn.IFS(H297&lt;6,"Weekday",H297&gt;5,"Weekend")</f>
        <v>Weekday</v>
      </c>
    </row>
    <row r="298" spans="1:10" x14ac:dyDescent="0.25">
      <c r="A298" s="1">
        <v>45588</v>
      </c>
      <c r="B298" s="1" t="str" cm="1">
        <f t="array" ref="B298">_xlfn.IFS(H298=1,"Monday",H298=2,"Tuesday",H298=3,"Wednesday",H298=4,"Thursday",H298=5,"Friday",H298=6,"Saturday",H298=7,"Sunday")</f>
        <v>Wednesday</v>
      </c>
      <c r="C298" s="1">
        <f t="shared" si="24"/>
        <v>45586</v>
      </c>
      <c r="D298" s="1">
        <f t="shared" si="25"/>
        <v>45566</v>
      </c>
      <c r="E298" s="1" cm="1">
        <f t="array" ref="E298">DATE(YEAR(A298),_xlfn.IFS(MONTH(A298)&lt;=3,1,MONTH(A298)&lt;=6,4,MONTH(A298)&lt;=9,7,MONTH(A298)&lt;=12,10),1)</f>
        <v>45566</v>
      </c>
      <c r="F298" s="1">
        <f t="shared" si="26"/>
        <v>45292</v>
      </c>
      <c r="G298">
        <f t="shared" si="27"/>
        <v>10</v>
      </c>
      <c r="H298">
        <f t="shared" si="28"/>
        <v>3</v>
      </c>
      <c r="I298">
        <f t="shared" si="29"/>
        <v>43</v>
      </c>
      <c r="J298" t="str" cm="1">
        <f t="array" ref="J298">_xlfn.IFS(H298&lt;6,"Weekday",H298&gt;5,"Weekend")</f>
        <v>Weekday</v>
      </c>
    </row>
    <row r="299" spans="1:10" x14ac:dyDescent="0.25">
      <c r="A299" s="1">
        <v>45589</v>
      </c>
      <c r="B299" s="1" t="str" cm="1">
        <f t="array" ref="B299">_xlfn.IFS(H299=1,"Monday",H299=2,"Tuesday",H299=3,"Wednesday",H299=4,"Thursday",H299=5,"Friday",H299=6,"Saturday",H299=7,"Sunday")</f>
        <v>Thursday</v>
      </c>
      <c r="C299" s="1">
        <f t="shared" si="24"/>
        <v>45586</v>
      </c>
      <c r="D299" s="1">
        <f t="shared" si="25"/>
        <v>45566</v>
      </c>
      <c r="E299" s="1" cm="1">
        <f t="array" ref="E299">DATE(YEAR(A299),_xlfn.IFS(MONTH(A299)&lt;=3,1,MONTH(A299)&lt;=6,4,MONTH(A299)&lt;=9,7,MONTH(A299)&lt;=12,10),1)</f>
        <v>45566</v>
      </c>
      <c r="F299" s="1">
        <f t="shared" si="26"/>
        <v>45292</v>
      </c>
      <c r="G299">
        <f t="shared" si="27"/>
        <v>10</v>
      </c>
      <c r="H299">
        <f t="shared" si="28"/>
        <v>4</v>
      </c>
      <c r="I299">
        <f t="shared" si="29"/>
        <v>43</v>
      </c>
      <c r="J299" t="str" cm="1">
        <f t="array" ref="J299">_xlfn.IFS(H299&lt;6,"Weekday",H299&gt;5,"Weekend")</f>
        <v>Weekday</v>
      </c>
    </row>
    <row r="300" spans="1:10" x14ac:dyDescent="0.25">
      <c r="A300" s="1">
        <v>45590</v>
      </c>
      <c r="B300" s="1" t="str" cm="1">
        <f t="array" ref="B300">_xlfn.IFS(H300=1,"Monday",H300=2,"Tuesday",H300=3,"Wednesday",H300=4,"Thursday",H300=5,"Friday",H300=6,"Saturday",H300=7,"Sunday")</f>
        <v>Friday</v>
      </c>
      <c r="C300" s="1">
        <f t="shared" si="24"/>
        <v>45586</v>
      </c>
      <c r="D300" s="1">
        <f t="shared" si="25"/>
        <v>45566</v>
      </c>
      <c r="E300" s="1" cm="1">
        <f t="array" ref="E300">DATE(YEAR(A300),_xlfn.IFS(MONTH(A300)&lt;=3,1,MONTH(A300)&lt;=6,4,MONTH(A300)&lt;=9,7,MONTH(A300)&lt;=12,10),1)</f>
        <v>45566</v>
      </c>
      <c r="F300" s="1">
        <f t="shared" si="26"/>
        <v>45292</v>
      </c>
      <c r="G300">
        <f t="shared" si="27"/>
        <v>10</v>
      </c>
      <c r="H300">
        <f t="shared" si="28"/>
        <v>5</v>
      </c>
      <c r="I300">
        <f t="shared" si="29"/>
        <v>43</v>
      </c>
      <c r="J300" t="str" cm="1">
        <f t="array" ref="J300">_xlfn.IFS(H300&lt;6,"Weekday",H300&gt;5,"Weekend")</f>
        <v>Weekday</v>
      </c>
    </row>
    <row r="301" spans="1:10" x14ac:dyDescent="0.25">
      <c r="A301" s="1">
        <v>45591</v>
      </c>
      <c r="B301" s="1" t="str" cm="1">
        <f t="array" ref="B301">_xlfn.IFS(H301=1,"Monday",H301=2,"Tuesday",H301=3,"Wednesday",H301=4,"Thursday",H301=5,"Friday",H301=6,"Saturday",H301=7,"Sunday")</f>
        <v>Saturday</v>
      </c>
      <c r="C301" s="1">
        <f t="shared" si="24"/>
        <v>45586</v>
      </c>
      <c r="D301" s="1">
        <f t="shared" si="25"/>
        <v>45566</v>
      </c>
      <c r="E301" s="1" cm="1">
        <f t="array" ref="E301">DATE(YEAR(A301),_xlfn.IFS(MONTH(A301)&lt;=3,1,MONTH(A301)&lt;=6,4,MONTH(A301)&lt;=9,7,MONTH(A301)&lt;=12,10),1)</f>
        <v>45566</v>
      </c>
      <c r="F301" s="1">
        <f t="shared" si="26"/>
        <v>45292</v>
      </c>
      <c r="G301">
        <f t="shared" si="27"/>
        <v>10</v>
      </c>
      <c r="H301">
        <f t="shared" si="28"/>
        <v>6</v>
      </c>
      <c r="I301">
        <f t="shared" si="29"/>
        <v>43</v>
      </c>
      <c r="J301" t="str" cm="1">
        <f t="array" ref="J301">_xlfn.IFS(H301&lt;6,"Weekday",H301&gt;5,"Weekend")</f>
        <v>Weekend</v>
      </c>
    </row>
    <row r="302" spans="1:10" x14ac:dyDescent="0.25">
      <c r="A302" s="1">
        <v>45592</v>
      </c>
      <c r="B302" s="1" t="str" cm="1">
        <f t="array" ref="B302">_xlfn.IFS(H302=1,"Monday",H302=2,"Tuesday",H302=3,"Wednesday",H302=4,"Thursday",H302=5,"Friday",H302=6,"Saturday",H302=7,"Sunday")</f>
        <v>Sunday</v>
      </c>
      <c r="C302" s="1">
        <f t="shared" si="24"/>
        <v>45586</v>
      </c>
      <c r="D302" s="1">
        <f t="shared" si="25"/>
        <v>45566</v>
      </c>
      <c r="E302" s="1" cm="1">
        <f t="array" ref="E302">DATE(YEAR(A302),_xlfn.IFS(MONTH(A302)&lt;=3,1,MONTH(A302)&lt;=6,4,MONTH(A302)&lt;=9,7,MONTH(A302)&lt;=12,10),1)</f>
        <v>45566</v>
      </c>
      <c r="F302" s="1">
        <f t="shared" si="26"/>
        <v>45292</v>
      </c>
      <c r="G302">
        <f t="shared" si="27"/>
        <v>10</v>
      </c>
      <c r="H302">
        <f t="shared" si="28"/>
        <v>7</v>
      </c>
      <c r="I302">
        <f t="shared" si="29"/>
        <v>43</v>
      </c>
      <c r="J302" t="str" cm="1">
        <f t="array" ref="J302">_xlfn.IFS(H302&lt;6,"Weekday",H302&gt;5,"Weekend")</f>
        <v>Weekend</v>
      </c>
    </row>
    <row r="303" spans="1:10" x14ac:dyDescent="0.25">
      <c r="A303" s="1">
        <v>45593</v>
      </c>
      <c r="B303" s="1" t="str" cm="1">
        <f t="array" ref="B303">_xlfn.IFS(H303=1,"Monday",H303=2,"Tuesday",H303=3,"Wednesday",H303=4,"Thursday",H303=5,"Friday",H303=6,"Saturday",H303=7,"Sunday")</f>
        <v>Monday</v>
      </c>
      <c r="C303" s="1">
        <f t="shared" si="24"/>
        <v>45593</v>
      </c>
      <c r="D303" s="1">
        <f t="shared" si="25"/>
        <v>45566</v>
      </c>
      <c r="E303" s="1" cm="1">
        <f t="array" ref="E303">DATE(YEAR(A303),_xlfn.IFS(MONTH(A303)&lt;=3,1,MONTH(A303)&lt;=6,4,MONTH(A303)&lt;=9,7,MONTH(A303)&lt;=12,10),1)</f>
        <v>45566</v>
      </c>
      <c r="F303" s="1">
        <f t="shared" si="26"/>
        <v>45292</v>
      </c>
      <c r="G303">
        <f t="shared" si="27"/>
        <v>10</v>
      </c>
      <c r="H303">
        <f t="shared" si="28"/>
        <v>1</v>
      </c>
      <c r="I303">
        <f t="shared" si="29"/>
        <v>44</v>
      </c>
      <c r="J303" t="str" cm="1">
        <f t="array" ref="J303">_xlfn.IFS(H303&lt;6,"Weekday",H303&gt;5,"Weekend")</f>
        <v>Weekday</v>
      </c>
    </row>
    <row r="304" spans="1:10" x14ac:dyDescent="0.25">
      <c r="A304" s="1">
        <v>45594</v>
      </c>
      <c r="B304" s="1" t="str" cm="1">
        <f t="array" ref="B304">_xlfn.IFS(H304=1,"Monday",H304=2,"Tuesday",H304=3,"Wednesday",H304=4,"Thursday",H304=5,"Friday",H304=6,"Saturday",H304=7,"Sunday")</f>
        <v>Tuesday</v>
      </c>
      <c r="C304" s="1">
        <f t="shared" si="24"/>
        <v>45593</v>
      </c>
      <c r="D304" s="1">
        <f t="shared" si="25"/>
        <v>45566</v>
      </c>
      <c r="E304" s="1" cm="1">
        <f t="array" ref="E304">DATE(YEAR(A304),_xlfn.IFS(MONTH(A304)&lt;=3,1,MONTH(A304)&lt;=6,4,MONTH(A304)&lt;=9,7,MONTH(A304)&lt;=12,10),1)</f>
        <v>45566</v>
      </c>
      <c r="F304" s="1">
        <f t="shared" si="26"/>
        <v>45292</v>
      </c>
      <c r="G304">
        <f t="shared" si="27"/>
        <v>10</v>
      </c>
      <c r="H304">
        <f t="shared" si="28"/>
        <v>2</v>
      </c>
      <c r="I304">
        <f t="shared" si="29"/>
        <v>44</v>
      </c>
      <c r="J304" t="str" cm="1">
        <f t="array" ref="J304">_xlfn.IFS(H304&lt;6,"Weekday",H304&gt;5,"Weekend")</f>
        <v>Weekday</v>
      </c>
    </row>
    <row r="305" spans="1:10" x14ac:dyDescent="0.25">
      <c r="A305" s="1">
        <v>45595</v>
      </c>
      <c r="B305" s="1" t="str" cm="1">
        <f t="array" ref="B305">_xlfn.IFS(H305=1,"Monday",H305=2,"Tuesday",H305=3,"Wednesday",H305=4,"Thursday",H305=5,"Friday",H305=6,"Saturday",H305=7,"Sunday")</f>
        <v>Wednesday</v>
      </c>
      <c r="C305" s="1">
        <f t="shared" si="24"/>
        <v>45593</v>
      </c>
      <c r="D305" s="1">
        <f t="shared" si="25"/>
        <v>45566</v>
      </c>
      <c r="E305" s="1" cm="1">
        <f t="array" ref="E305">DATE(YEAR(A305),_xlfn.IFS(MONTH(A305)&lt;=3,1,MONTH(A305)&lt;=6,4,MONTH(A305)&lt;=9,7,MONTH(A305)&lt;=12,10),1)</f>
        <v>45566</v>
      </c>
      <c r="F305" s="1">
        <f t="shared" si="26"/>
        <v>45292</v>
      </c>
      <c r="G305">
        <f t="shared" si="27"/>
        <v>10</v>
      </c>
      <c r="H305">
        <f t="shared" si="28"/>
        <v>3</v>
      </c>
      <c r="I305">
        <f t="shared" si="29"/>
        <v>44</v>
      </c>
      <c r="J305" t="str" cm="1">
        <f t="array" ref="J305">_xlfn.IFS(H305&lt;6,"Weekday",H305&gt;5,"Weekend")</f>
        <v>Weekday</v>
      </c>
    </row>
    <row r="306" spans="1:10" x14ac:dyDescent="0.25">
      <c r="A306" s="1">
        <v>45596</v>
      </c>
      <c r="B306" s="1" t="str" cm="1">
        <f t="array" ref="B306">_xlfn.IFS(H306=1,"Monday",H306=2,"Tuesday",H306=3,"Wednesday",H306=4,"Thursday",H306=5,"Friday",H306=6,"Saturday",H306=7,"Sunday")</f>
        <v>Thursday</v>
      </c>
      <c r="C306" s="1">
        <f t="shared" si="24"/>
        <v>45593</v>
      </c>
      <c r="D306" s="1">
        <f t="shared" si="25"/>
        <v>45566</v>
      </c>
      <c r="E306" s="1" cm="1">
        <f t="array" ref="E306">DATE(YEAR(A306),_xlfn.IFS(MONTH(A306)&lt;=3,1,MONTH(A306)&lt;=6,4,MONTH(A306)&lt;=9,7,MONTH(A306)&lt;=12,10),1)</f>
        <v>45566</v>
      </c>
      <c r="F306" s="1">
        <f t="shared" si="26"/>
        <v>45292</v>
      </c>
      <c r="G306">
        <f t="shared" si="27"/>
        <v>10</v>
      </c>
      <c r="H306">
        <f t="shared" si="28"/>
        <v>4</v>
      </c>
      <c r="I306">
        <f t="shared" si="29"/>
        <v>44</v>
      </c>
      <c r="J306" t="str" cm="1">
        <f t="array" ref="J306">_xlfn.IFS(H306&lt;6,"Weekday",H306&gt;5,"Weekend")</f>
        <v>Weekday</v>
      </c>
    </row>
    <row r="307" spans="1:10" x14ac:dyDescent="0.25">
      <c r="A307" s="1">
        <v>45597</v>
      </c>
      <c r="B307" s="1" t="str" cm="1">
        <f t="array" ref="B307">_xlfn.IFS(H307=1,"Monday",H307=2,"Tuesday",H307=3,"Wednesday",H307=4,"Thursday",H307=5,"Friday",H307=6,"Saturday",H307=7,"Sunday")</f>
        <v>Friday</v>
      </c>
      <c r="C307" s="1">
        <f t="shared" si="24"/>
        <v>45593</v>
      </c>
      <c r="D307" s="1">
        <f t="shared" si="25"/>
        <v>45597</v>
      </c>
      <c r="E307" s="1" cm="1">
        <f t="array" ref="E307">DATE(YEAR(A307),_xlfn.IFS(MONTH(A307)&lt;=3,1,MONTH(A307)&lt;=6,4,MONTH(A307)&lt;=9,7,MONTH(A307)&lt;=12,10),1)</f>
        <v>45566</v>
      </c>
      <c r="F307" s="1">
        <f t="shared" si="26"/>
        <v>45292</v>
      </c>
      <c r="G307">
        <f t="shared" si="27"/>
        <v>11</v>
      </c>
      <c r="H307">
        <f t="shared" si="28"/>
        <v>5</v>
      </c>
      <c r="I307">
        <f t="shared" si="29"/>
        <v>44</v>
      </c>
      <c r="J307" t="str" cm="1">
        <f t="array" ref="J307">_xlfn.IFS(H307&lt;6,"Weekday",H307&gt;5,"Weekend")</f>
        <v>Weekday</v>
      </c>
    </row>
    <row r="308" spans="1:10" x14ac:dyDescent="0.25">
      <c r="A308" s="1">
        <v>45598</v>
      </c>
      <c r="B308" s="1" t="str" cm="1">
        <f t="array" ref="B308">_xlfn.IFS(H308=1,"Monday",H308=2,"Tuesday",H308=3,"Wednesday",H308=4,"Thursday",H308=5,"Friday",H308=6,"Saturday",H308=7,"Sunday")</f>
        <v>Saturday</v>
      </c>
      <c r="C308" s="1">
        <f t="shared" si="24"/>
        <v>45593</v>
      </c>
      <c r="D308" s="1">
        <f t="shared" si="25"/>
        <v>45597</v>
      </c>
      <c r="E308" s="1" cm="1">
        <f t="array" ref="E308">DATE(YEAR(A308),_xlfn.IFS(MONTH(A308)&lt;=3,1,MONTH(A308)&lt;=6,4,MONTH(A308)&lt;=9,7,MONTH(A308)&lt;=12,10),1)</f>
        <v>45566</v>
      </c>
      <c r="F308" s="1">
        <f t="shared" si="26"/>
        <v>45292</v>
      </c>
      <c r="G308">
        <f t="shared" si="27"/>
        <v>11</v>
      </c>
      <c r="H308">
        <f t="shared" si="28"/>
        <v>6</v>
      </c>
      <c r="I308">
        <f t="shared" si="29"/>
        <v>44</v>
      </c>
      <c r="J308" t="str" cm="1">
        <f t="array" ref="J308">_xlfn.IFS(H308&lt;6,"Weekday",H308&gt;5,"Weekend")</f>
        <v>Weekend</v>
      </c>
    </row>
    <row r="309" spans="1:10" x14ac:dyDescent="0.25">
      <c r="A309" s="1">
        <v>45599</v>
      </c>
      <c r="B309" s="1" t="str" cm="1">
        <f t="array" ref="B309">_xlfn.IFS(H309=1,"Monday",H309=2,"Tuesday",H309=3,"Wednesday",H309=4,"Thursday",H309=5,"Friday",H309=6,"Saturday",H309=7,"Sunday")</f>
        <v>Sunday</v>
      </c>
      <c r="C309" s="1">
        <f t="shared" si="24"/>
        <v>45593</v>
      </c>
      <c r="D309" s="1">
        <f t="shared" si="25"/>
        <v>45597</v>
      </c>
      <c r="E309" s="1" cm="1">
        <f t="array" ref="E309">DATE(YEAR(A309),_xlfn.IFS(MONTH(A309)&lt;=3,1,MONTH(A309)&lt;=6,4,MONTH(A309)&lt;=9,7,MONTH(A309)&lt;=12,10),1)</f>
        <v>45566</v>
      </c>
      <c r="F309" s="1">
        <f t="shared" si="26"/>
        <v>45292</v>
      </c>
      <c r="G309">
        <f t="shared" si="27"/>
        <v>11</v>
      </c>
      <c r="H309">
        <f t="shared" si="28"/>
        <v>7</v>
      </c>
      <c r="I309">
        <f t="shared" si="29"/>
        <v>44</v>
      </c>
      <c r="J309" t="str" cm="1">
        <f t="array" ref="J309">_xlfn.IFS(H309&lt;6,"Weekday",H309&gt;5,"Weekend")</f>
        <v>Weekend</v>
      </c>
    </row>
    <row r="310" spans="1:10" x14ac:dyDescent="0.25">
      <c r="A310" s="1">
        <v>45600</v>
      </c>
      <c r="B310" s="1" t="str" cm="1">
        <f t="array" ref="B310">_xlfn.IFS(H310=1,"Monday",H310=2,"Tuesday",H310=3,"Wednesday",H310=4,"Thursday",H310=5,"Friday",H310=6,"Saturday",H310=7,"Sunday")</f>
        <v>Monday</v>
      </c>
      <c r="C310" s="1">
        <f t="shared" si="24"/>
        <v>45600</v>
      </c>
      <c r="D310" s="1">
        <f t="shared" si="25"/>
        <v>45597</v>
      </c>
      <c r="E310" s="1" cm="1">
        <f t="array" ref="E310">DATE(YEAR(A310),_xlfn.IFS(MONTH(A310)&lt;=3,1,MONTH(A310)&lt;=6,4,MONTH(A310)&lt;=9,7,MONTH(A310)&lt;=12,10),1)</f>
        <v>45566</v>
      </c>
      <c r="F310" s="1">
        <f t="shared" si="26"/>
        <v>45292</v>
      </c>
      <c r="G310">
        <f t="shared" si="27"/>
        <v>11</v>
      </c>
      <c r="H310">
        <f t="shared" si="28"/>
        <v>1</v>
      </c>
      <c r="I310">
        <f t="shared" si="29"/>
        <v>45</v>
      </c>
      <c r="J310" t="str" cm="1">
        <f t="array" ref="J310">_xlfn.IFS(H310&lt;6,"Weekday",H310&gt;5,"Weekend")</f>
        <v>Weekday</v>
      </c>
    </row>
    <row r="311" spans="1:10" x14ac:dyDescent="0.25">
      <c r="A311" s="1">
        <v>45601</v>
      </c>
      <c r="B311" s="1" t="str" cm="1">
        <f t="array" ref="B311">_xlfn.IFS(H311=1,"Monday",H311=2,"Tuesday",H311=3,"Wednesday",H311=4,"Thursday",H311=5,"Friday",H311=6,"Saturday",H311=7,"Sunday")</f>
        <v>Tuesday</v>
      </c>
      <c r="C311" s="1">
        <f t="shared" si="24"/>
        <v>45600</v>
      </c>
      <c r="D311" s="1">
        <f t="shared" si="25"/>
        <v>45597</v>
      </c>
      <c r="E311" s="1" cm="1">
        <f t="array" ref="E311">DATE(YEAR(A311),_xlfn.IFS(MONTH(A311)&lt;=3,1,MONTH(A311)&lt;=6,4,MONTH(A311)&lt;=9,7,MONTH(A311)&lt;=12,10),1)</f>
        <v>45566</v>
      </c>
      <c r="F311" s="1">
        <f t="shared" si="26"/>
        <v>45292</v>
      </c>
      <c r="G311">
        <f t="shared" si="27"/>
        <v>11</v>
      </c>
      <c r="H311">
        <f t="shared" si="28"/>
        <v>2</v>
      </c>
      <c r="I311">
        <f t="shared" si="29"/>
        <v>45</v>
      </c>
      <c r="J311" t="str" cm="1">
        <f t="array" ref="J311">_xlfn.IFS(H311&lt;6,"Weekday",H311&gt;5,"Weekend")</f>
        <v>Weekday</v>
      </c>
    </row>
    <row r="312" spans="1:10" x14ac:dyDescent="0.25">
      <c r="A312" s="1">
        <v>45602</v>
      </c>
      <c r="B312" s="1" t="str" cm="1">
        <f t="array" ref="B312">_xlfn.IFS(H312=1,"Monday",H312=2,"Tuesday",H312=3,"Wednesday",H312=4,"Thursday",H312=5,"Friday",H312=6,"Saturday",H312=7,"Sunday")</f>
        <v>Wednesday</v>
      </c>
      <c r="C312" s="1">
        <f t="shared" si="24"/>
        <v>45600</v>
      </c>
      <c r="D312" s="1">
        <f t="shared" si="25"/>
        <v>45597</v>
      </c>
      <c r="E312" s="1" cm="1">
        <f t="array" ref="E312">DATE(YEAR(A312),_xlfn.IFS(MONTH(A312)&lt;=3,1,MONTH(A312)&lt;=6,4,MONTH(A312)&lt;=9,7,MONTH(A312)&lt;=12,10),1)</f>
        <v>45566</v>
      </c>
      <c r="F312" s="1">
        <f t="shared" si="26"/>
        <v>45292</v>
      </c>
      <c r="G312">
        <f t="shared" si="27"/>
        <v>11</v>
      </c>
      <c r="H312">
        <f t="shared" si="28"/>
        <v>3</v>
      </c>
      <c r="I312">
        <f t="shared" si="29"/>
        <v>45</v>
      </c>
      <c r="J312" t="str" cm="1">
        <f t="array" ref="J312">_xlfn.IFS(H312&lt;6,"Weekday",H312&gt;5,"Weekend")</f>
        <v>Weekday</v>
      </c>
    </row>
    <row r="313" spans="1:10" x14ac:dyDescent="0.25">
      <c r="A313" s="1">
        <v>45603</v>
      </c>
      <c r="B313" s="1" t="str" cm="1">
        <f t="array" ref="B313">_xlfn.IFS(H313=1,"Monday",H313=2,"Tuesday",H313=3,"Wednesday",H313=4,"Thursday",H313=5,"Friday",H313=6,"Saturday",H313=7,"Sunday")</f>
        <v>Thursday</v>
      </c>
      <c r="C313" s="1">
        <f t="shared" si="24"/>
        <v>45600</v>
      </c>
      <c r="D313" s="1">
        <f t="shared" si="25"/>
        <v>45597</v>
      </c>
      <c r="E313" s="1" cm="1">
        <f t="array" ref="E313">DATE(YEAR(A313),_xlfn.IFS(MONTH(A313)&lt;=3,1,MONTH(A313)&lt;=6,4,MONTH(A313)&lt;=9,7,MONTH(A313)&lt;=12,10),1)</f>
        <v>45566</v>
      </c>
      <c r="F313" s="1">
        <f t="shared" si="26"/>
        <v>45292</v>
      </c>
      <c r="G313">
        <f t="shared" si="27"/>
        <v>11</v>
      </c>
      <c r="H313">
        <f t="shared" si="28"/>
        <v>4</v>
      </c>
      <c r="I313">
        <f t="shared" si="29"/>
        <v>45</v>
      </c>
      <c r="J313" t="str" cm="1">
        <f t="array" ref="J313">_xlfn.IFS(H313&lt;6,"Weekday",H313&gt;5,"Weekend")</f>
        <v>Weekday</v>
      </c>
    </row>
    <row r="314" spans="1:10" x14ac:dyDescent="0.25">
      <c r="A314" s="1">
        <v>45604</v>
      </c>
      <c r="B314" s="1" t="str" cm="1">
        <f t="array" ref="B314">_xlfn.IFS(H314=1,"Monday",H314=2,"Tuesday",H314=3,"Wednesday",H314=4,"Thursday",H314=5,"Friday",H314=6,"Saturday",H314=7,"Sunday")</f>
        <v>Friday</v>
      </c>
      <c r="C314" s="1">
        <f t="shared" si="24"/>
        <v>45600</v>
      </c>
      <c r="D314" s="1">
        <f t="shared" si="25"/>
        <v>45597</v>
      </c>
      <c r="E314" s="1" cm="1">
        <f t="array" ref="E314">DATE(YEAR(A314),_xlfn.IFS(MONTH(A314)&lt;=3,1,MONTH(A314)&lt;=6,4,MONTH(A314)&lt;=9,7,MONTH(A314)&lt;=12,10),1)</f>
        <v>45566</v>
      </c>
      <c r="F314" s="1">
        <f t="shared" si="26"/>
        <v>45292</v>
      </c>
      <c r="G314">
        <f t="shared" si="27"/>
        <v>11</v>
      </c>
      <c r="H314">
        <f t="shared" si="28"/>
        <v>5</v>
      </c>
      <c r="I314">
        <f t="shared" si="29"/>
        <v>45</v>
      </c>
      <c r="J314" t="str" cm="1">
        <f t="array" ref="J314">_xlfn.IFS(H314&lt;6,"Weekday",H314&gt;5,"Weekend")</f>
        <v>Weekday</v>
      </c>
    </row>
    <row r="315" spans="1:10" x14ac:dyDescent="0.25">
      <c r="A315" s="1">
        <v>45605</v>
      </c>
      <c r="B315" s="1" t="str" cm="1">
        <f t="array" ref="B315">_xlfn.IFS(H315=1,"Monday",H315=2,"Tuesday",H315=3,"Wednesday",H315=4,"Thursday",H315=5,"Friday",H315=6,"Saturday",H315=7,"Sunday")</f>
        <v>Saturday</v>
      </c>
      <c r="C315" s="1">
        <f t="shared" si="24"/>
        <v>45600</v>
      </c>
      <c r="D315" s="1">
        <f t="shared" si="25"/>
        <v>45597</v>
      </c>
      <c r="E315" s="1" cm="1">
        <f t="array" ref="E315">DATE(YEAR(A315),_xlfn.IFS(MONTH(A315)&lt;=3,1,MONTH(A315)&lt;=6,4,MONTH(A315)&lt;=9,7,MONTH(A315)&lt;=12,10),1)</f>
        <v>45566</v>
      </c>
      <c r="F315" s="1">
        <f t="shared" si="26"/>
        <v>45292</v>
      </c>
      <c r="G315">
        <f t="shared" si="27"/>
        <v>11</v>
      </c>
      <c r="H315">
        <f t="shared" si="28"/>
        <v>6</v>
      </c>
      <c r="I315">
        <f t="shared" si="29"/>
        <v>45</v>
      </c>
      <c r="J315" t="str" cm="1">
        <f t="array" ref="J315">_xlfn.IFS(H315&lt;6,"Weekday",H315&gt;5,"Weekend")</f>
        <v>Weekend</v>
      </c>
    </row>
    <row r="316" spans="1:10" x14ac:dyDescent="0.25">
      <c r="A316" s="1">
        <v>45606</v>
      </c>
      <c r="B316" s="1" t="str" cm="1">
        <f t="array" ref="B316">_xlfn.IFS(H316=1,"Monday",H316=2,"Tuesday",H316=3,"Wednesday",H316=4,"Thursday",H316=5,"Friday",H316=6,"Saturday",H316=7,"Sunday")</f>
        <v>Sunday</v>
      </c>
      <c r="C316" s="1">
        <f t="shared" si="24"/>
        <v>45600</v>
      </c>
      <c r="D316" s="1">
        <f t="shared" si="25"/>
        <v>45597</v>
      </c>
      <c r="E316" s="1" cm="1">
        <f t="array" ref="E316">DATE(YEAR(A316),_xlfn.IFS(MONTH(A316)&lt;=3,1,MONTH(A316)&lt;=6,4,MONTH(A316)&lt;=9,7,MONTH(A316)&lt;=12,10),1)</f>
        <v>45566</v>
      </c>
      <c r="F316" s="1">
        <f t="shared" si="26"/>
        <v>45292</v>
      </c>
      <c r="G316">
        <f t="shared" si="27"/>
        <v>11</v>
      </c>
      <c r="H316">
        <f t="shared" si="28"/>
        <v>7</v>
      </c>
      <c r="I316">
        <f t="shared" si="29"/>
        <v>45</v>
      </c>
      <c r="J316" t="str" cm="1">
        <f t="array" ref="J316">_xlfn.IFS(H316&lt;6,"Weekday",H316&gt;5,"Weekend")</f>
        <v>Weekend</v>
      </c>
    </row>
    <row r="317" spans="1:10" x14ac:dyDescent="0.25">
      <c r="A317" s="1">
        <v>45607</v>
      </c>
      <c r="B317" s="1" t="str" cm="1">
        <f t="array" ref="B317">_xlfn.IFS(H317=1,"Monday",H317=2,"Tuesday",H317=3,"Wednesday",H317=4,"Thursday",H317=5,"Friday",H317=6,"Saturday",H317=7,"Sunday")</f>
        <v>Monday</v>
      </c>
      <c r="C317" s="1">
        <f t="shared" si="24"/>
        <v>45607</v>
      </c>
      <c r="D317" s="1">
        <f t="shared" si="25"/>
        <v>45597</v>
      </c>
      <c r="E317" s="1" cm="1">
        <f t="array" ref="E317">DATE(YEAR(A317),_xlfn.IFS(MONTH(A317)&lt;=3,1,MONTH(A317)&lt;=6,4,MONTH(A317)&lt;=9,7,MONTH(A317)&lt;=12,10),1)</f>
        <v>45566</v>
      </c>
      <c r="F317" s="1">
        <f t="shared" si="26"/>
        <v>45292</v>
      </c>
      <c r="G317">
        <f t="shared" si="27"/>
        <v>11</v>
      </c>
      <c r="H317">
        <f t="shared" si="28"/>
        <v>1</v>
      </c>
      <c r="I317">
        <f t="shared" si="29"/>
        <v>46</v>
      </c>
      <c r="J317" t="str" cm="1">
        <f t="array" ref="J317">_xlfn.IFS(H317&lt;6,"Weekday",H317&gt;5,"Weekend")</f>
        <v>Weekday</v>
      </c>
    </row>
    <row r="318" spans="1:10" x14ac:dyDescent="0.25">
      <c r="A318" s="1">
        <v>45608</v>
      </c>
      <c r="B318" s="1" t="str" cm="1">
        <f t="array" ref="B318">_xlfn.IFS(H318=1,"Monday",H318=2,"Tuesday",H318=3,"Wednesday",H318=4,"Thursday",H318=5,"Friday",H318=6,"Saturday",H318=7,"Sunday")</f>
        <v>Tuesday</v>
      </c>
      <c r="C318" s="1">
        <f t="shared" si="24"/>
        <v>45607</v>
      </c>
      <c r="D318" s="1">
        <f t="shared" si="25"/>
        <v>45597</v>
      </c>
      <c r="E318" s="1" cm="1">
        <f t="array" ref="E318">DATE(YEAR(A318),_xlfn.IFS(MONTH(A318)&lt;=3,1,MONTH(A318)&lt;=6,4,MONTH(A318)&lt;=9,7,MONTH(A318)&lt;=12,10),1)</f>
        <v>45566</v>
      </c>
      <c r="F318" s="1">
        <f t="shared" si="26"/>
        <v>45292</v>
      </c>
      <c r="G318">
        <f t="shared" si="27"/>
        <v>11</v>
      </c>
      <c r="H318">
        <f t="shared" si="28"/>
        <v>2</v>
      </c>
      <c r="I318">
        <f t="shared" si="29"/>
        <v>46</v>
      </c>
      <c r="J318" t="str" cm="1">
        <f t="array" ref="J318">_xlfn.IFS(H318&lt;6,"Weekday",H318&gt;5,"Weekend")</f>
        <v>Weekday</v>
      </c>
    </row>
    <row r="319" spans="1:10" x14ac:dyDescent="0.25">
      <c r="A319" s="1">
        <v>45609</v>
      </c>
      <c r="B319" s="1" t="str" cm="1">
        <f t="array" ref="B319">_xlfn.IFS(H319=1,"Monday",H319=2,"Tuesday",H319=3,"Wednesday",H319=4,"Thursday",H319=5,"Friday",H319=6,"Saturday",H319=7,"Sunday")</f>
        <v>Wednesday</v>
      </c>
      <c r="C319" s="1">
        <f t="shared" si="24"/>
        <v>45607</v>
      </c>
      <c r="D319" s="1">
        <f t="shared" si="25"/>
        <v>45597</v>
      </c>
      <c r="E319" s="1" cm="1">
        <f t="array" ref="E319">DATE(YEAR(A319),_xlfn.IFS(MONTH(A319)&lt;=3,1,MONTH(A319)&lt;=6,4,MONTH(A319)&lt;=9,7,MONTH(A319)&lt;=12,10),1)</f>
        <v>45566</v>
      </c>
      <c r="F319" s="1">
        <f t="shared" si="26"/>
        <v>45292</v>
      </c>
      <c r="G319">
        <f t="shared" si="27"/>
        <v>11</v>
      </c>
      <c r="H319">
        <f t="shared" si="28"/>
        <v>3</v>
      </c>
      <c r="I319">
        <f t="shared" si="29"/>
        <v>46</v>
      </c>
      <c r="J319" t="str" cm="1">
        <f t="array" ref="J319">_xlfn.IFS(H319&lt;6,"Weekday",H319&gt;5,"Weekend")</f>
        <v>Weekday</v>
      </c>
    </row>
    <row r="320" spans="1:10" x14ac:dyDescent="0.25">
      <c r="A320" s="1">
        <v>45610</v>
      </c>
      <c r="B320" s="1" t="str" cm="1">
        <f t="array" ref="B320">_xlfn.IFS(H320=1,"Monday",H320=2,"Tuesday",H320=3,"Wednesday",H320=4,"Thursday",H320=5,"Friday",H320=6,"Saturday",H320=7,"Sunday")</f>
        <v>Thursday</v>
      </c>
      <c r="C320" s="1">
        <f t="shared" si="24"/>
        <v>45607</v>
      </c>
      <c r="D320" s="1">
        <f t="shared" si="25"/>
        <v>45597</v>
      </c>
      <c r="E320" s="1" cm="1">
        <f t="array" ref="E320">DATE(YEAR(A320),_xlfn.IFS(MONTH(A320)&lt;=3,1,MONTH(A320)&lt;=6,4,MONTH(A320)&lt;=9,7,MONTH(A320)&lt;=12,10),1)</f>
        <v>45566</v>
      </c>
      <c r="F320" s="1">
        <f t="shared" si="26"/>
        <v>45292</v>
      </c>
      <c r="G320">
        <f t="shared" si="27"/>
        <v>11</v>
      </c>
      <c r="H320">
        <f t="shared" si="28"/>
        <v>4</v>
      </c>
      <c r="I320">
        <f t="shared" si="29"/>
        <v>46</v>
      </c>
      <c r="J320" t="str" cm="1">
        <f t="array" ref="J320">_xlfn.IFS(H320&lt;6,"Weekday",H320&gt;5,"Weekend")</f>
        <v>Weekday</v>
      </c>
    </row>
    <row r="321" spans="1:10" x14ac:dyDescent="0.25">
      <c r="A321" s="1">
        <v>45611</v>
      </c>
      <c r="B321" s="1" t="str" cm="1">
        <f t="array" ref="B321">_xlfn.IFS(H321=1,"Monday",H321=2,"Tuesday",H321=3,"Wednesday",H321=4,"Thursday",H321=5,"Friday",H321=6,"Saturday",H321=7,"Sunday")</f>
        <v>Friday</v>
      </c>
      <c r="C321" s="1">
        <f t="shared" si="24"/>
        <v>45607</v>
      </c>
      <c r="D321" s="1">
        <f t="shared" si="25"/>
        <v>45597</v>
      </c>
      <c r="E321" s="1" cm="1">
        <f t="array" ref="E321">DATE(YEAR(A321),_xlfn.IFS(MONTH(A321)&lt;=3,1,MONTH(A321)&lt;=6,4,MONTH(A321)&lt;=9,7,MONTH(A321)&lt;=12,10),1)</f>
        <v>45566</v>
      </c>
      <c r="F321" s="1">
        <f t="shared" si="26"/>
        <v>45292</v>
      </c>
      <c r="G321">
        <f t="shared" si="27"/>
        <v>11</v>
      </c>
      <c r="H321">
        <f t="shared" si="28"/>
        <v>5</v>
      </c>
      <c r="I321">
        <f t="shared" si="29"/>
        <v>46</v>
      </c>
      <c r="J321" t="str" cm="1">
        <f t="array" ref="J321">_xlfn.IFS(H321&lt;6,"Weekday",H321&gt;5,"Weekend")</f>
        <v>Weekday</v>
      </c>
    </row>
    <row r="322" spans="1:10" x14ac:dyDescent="0.25">
      <c r="A322" s="1">
        <v>45612</v>
      </c>
      <c r="B322" s="1" t="str" cm="1">
        <f t="array" ref="B322">_xlfn.IFS(H322=1,"Monday",H322=2,"Tuesday",H322=3,"Wednesday",H322=4,"Thursday",H322=5,"Friday",H322=6,"Saturday",H322=7,"Sunday")</f>
        <v>Saturday</v>
      </c>
      <c r="C322" s="1">
        <f t="shared" ref="C322:C385" si="30">A322-WEEKDAY(A322,2)+1</f>
        <v>45607</v>
      </c>
      <c r="D322" s="1">
        <f t="shared" ref="D322:D385" si="31">DATE(YEAR(A322),MONTH(A322),1)</f>
        <v>45597</v>
      </c>
      <c r="E322" s="1" cm="1">
        <f t="array" ref="E322">DATE(YEAR(A322),_xlfn.IFS(MONTH(A322)&lt;=3,1,MONTH(A322)&lt;=6,4,MONTH(A322)&lt;=9,7,MONTH(A322)&lt;=12,10),1)</f>
        <v>45566</v>
      </c>
      <c r="F322" s="1">
        <f t="shared" ref="F322:F385" si="32">DATE(YEAR(A322),1,1)</f>
        <v>45292</v>
      </c>
      <c r="G322">
        <f t="shared" ref="G322:G385" si="33">MONTH(A322)</f>
        <v>11</v>
      </c>
      <c r="H322">
        <f t="shared" ref="H322:H385" si="34">WEEKDAY(A322,2)</f>
        <v>6</v>
      </c>
      <c r="I322">
        <f t="shared" ref="I322:I385" si="35">_xlfn.ISOWEEKNUM(A322)</f>
        <v>46</v>
      </c>
      <c r="J322" t="str" cm="1">
        <f t="array" ref="J322">_xlfn.IFS(H322&lt;6,"Weekday",H322&gt;5,"Weekend")</f>
        <v>Weekend</v>
      </c>
    </row>
    <row r="323" spans="1:10" x14ac:dyDescent="0.25">
      <c r="A323" s="1">
        <v>45613</v>
      </c>
      <c r="B323" s="1" t="str" cm="1">
        <f t="array" ref="B323">_xlfn.IFS(H323=1,"Monday",H323=2,"Tuesday",H323=3,"Wednesday",H323=4,"Thursday",H323=5,"Friday",H323=6,"Saturday",H323=7,"Sunday")</f>
        <v>Sunday</v>
      </c>
      <c r="C323" s="1">
        <f t="shared" si="30"/>
        <v>45607</v>
      </c>
      <c r="D323" s="1">
        <f t="shared" si="31"/>
        <v>45597</v>
      </c>
      <c r="E323" s="1" cm="1">
        <f t="array" ref="E323">DATE(YEAR(A323),_xlfn.IFS(MONTH(A323)&lt;=3,1,MONTH(A323)&lt;=6,4,MONTH(A323)&lt;=9,7,MONTH(A323)&lt;=12,10),1)</f>
        <v>45566</v>
      </c>
      <c r="F323" s="1">
        <f t="shared" si="32"/>
        <v>45292</v>
      </c>
      <c r="G323">
        <f t="shared" si="33"/>
        <v>11</v>
      </c>
      <c r="H323">
        <f t="shared" si="34"/>
        <v>7</v>
      </c>
      <c r="I323">
        <f t="shared" si="35"/>
        <v>46</v>
      </c>
      <c r="J323" t="str" cm="1">
        <f t="array" ref="J323">_xlfn.IFS(H323&lt;6,"Weekday",H323&gt;5,"Weekend")</f>
        <v>Weekend</v>
      </c>
    </row>
    <row r="324" spans="1:10" x14ac:dyDescent="0.25">
      <c r="A324" s="1">
        <v>45614</v>
      </c>
      <c r="B324" s="1" t="str" cm="1">
        <f t="array" ref="B324">_xlfn.IFS(H324=1,"Monday",H324=2,"Tuesday",H324=3,"Wednesday",H324=4,"Thursday",H324=5,"Friday",H324=6,"Saturday",H324=7,"Sunday")</f>
        <v>Monday</v>
      </c>
      <c r="C324" s="1">
        <f t="shared" si="30"/>
        <v>45614</v>
      </c>
      <c r="D324" s="1">
        <f t="shared" si="31"/>
        <v>45597</v>
      </c>
      <c r="E324" s="1" cm="1">
        <f t="array" ref="E324">DATE(YEAR(A324),_xlfn.IFS(MONTH(A324)&lt;=3,1,MONTH(A324)&lt;=6,4,MONTH(A324)&lt;=9,7,MONTH(A324)&lt;=12,10),1)</f>
        <v>45566</v>
      </c>
      <c r="F324" s="1">
        <f t="shared" si="32"/>
        <v>45292</v>
      </c>
      <c r="G324">
        <f t="shared" si="33"/>
        <v>11</v>
      </c>
      <c r="H324">
        <f t="shared" si="34"/>
        <v>1</v>
      </c>
      <c r="I324">
        <f t="shared" si="35"/>
        <v>47</v>
      </c>
      <c r="J324" t="str" cm="1">
        <f t="array" ref="J324">_xlfn.IFS(H324&lt;6,"Weekday",H324&gt;5,"Weekend")</f>
        <v>Weekday</v>
      </c>
    </row>
    <row r="325" spans="1:10" x14ac:dyDescent="0.25">
      <c r="A325" s="1">
        <v>45615</v>
      </c>
      <c r="B325" s="1" t="str" cm="1">
        <f t="array" ref="B325">_xlfn.IFS(H325=1,"Monday",H325=2,"Tuesday",H325=3,"Wednesday",H325=4,"Thursday",H325=5,"Friday",H325=6,"Saturday",H325=7,"Sunday")</f>
        <v>Tuesday</v>
      </c>
      <c r="C325" s="1">
        <f t="shared" si="30"/>
        <v>45614</v>
      </c>
      <c r="D325" s="1">
        <f t="shared" si="31"/>
        <v>45597</v>
      </c>
      <c r="E325" s="1" cm="1">
        <f t="array" ref="E325">DATE(YEAR(A325),_xlfn.IFS(MONTH(A325)&lt;=3,1,MONTH(A325)&lt;=6,4,MONTH(A325)&lt;=9,7,MONTH(A325)&lt;=12,10),1)</f>
        <v>45566</v>
      </c>
      <c r="F325" s="1">
        <f t="shared" si="32"/>
        <v>45292</v>
      </c>
      <c r="G325">
        <f t="shared" si="33"/>
        <v>11</v>
      </c>
      <c r="H325">
        <f t="shared" si="34"/>
        <v>2</v>
      </c>
      <c r="I325">
        <f t="shared" si="35"/>
        <v>47</v>
      </c>
      <c r="J325" t="str" cm="1">
        <f t="array" ref="J325">_xlfn.IFS(H325&lt;6,"Weekday",H325&gt;5,"Weekend")</f>
        <v>Weekday</v>
      </c>
    </row>
    <row r="326" spans="1:10" x14ac:dyDescent="0.25">
      <c r="A326" s="1">
        <v>45616</v>
      </c>
      <c r="B326" s="1" t="str" cm="1">
        <f t="array" ref="B326">_xlfn.IFS(H326=1,"Monday",H326=2,"Tuesday",H326=3,"Wednesday",H326=4,"Thursday",H326=5,"Friday",H326=6,"Saturday",H326=7,"Sunday")</f>
        <v>Wednesday</v>
      </c>
      <c r="C326" s="1">
        <f t="shared" si="30"/>
        <v>45614</v>
      </c>
      <c r="D326" s="1">
        <f t="shared" si="31"/>
        <v>45597</v>
      </c>
      <c r="E326" s="1" cm="1">
        <f t="array" ref="E326">DATE(YEAR(A326),_xlfn.IFS(MONTH(A326)&lt;=3,1,MONTH(A326)&lt;=6,4,MONTH(A326)&lt;=9,7,MONTH(A326)&lt;=12,10),1)</f>
        <v>45566</v>
      </c>
      <c r="F326" s="1">
        <f t="shared" si="32"/>
        <v>45292</v>
      </c>
      <c r="G326">
        <f t="shared" si="33"/>
        <v>11</v>
      </c>
      <c r="H326">
        <f t="shared" si="34"/>
        <v>3</v>
      </c>
      <c r="I326">
        <f t="shared" si="35"/>
        <v>47</v>
      </c>
      <c r="J326" t="str" cm="1">
        <f t="array" ref="J326">_xlfn.IFS(H326&lt;6,"Weekday",H326&gt;5,"Weekend")</f>
        <v>Weekday</v>
      </c>
    </row>
    <row r="327" spans="1:10" x14ac:dyDescent="0.25">
      <c r="A327" s="1">
        <v>45617</v>
      </c>
      <c r="B327" s="1" t="str" cm="1">
        <f t="array" ref="B327">_xlfn.IFS(H327=1,"Monday",H327=2,"Tuesday",H327=3,"Wednesday",H327=4,"Thursday",H327=5,"Friday",H327=6,"Saturday",H327=7,"Sunday")</f>
        <v>Thursday</v>
      </c>
      <c r="C327" s="1">
        <f t="shared" si="30"/>
        <v>45614</v>
      </c>
      <c r="D327" s="1">
        <f t="shared" si="31"/>
        <v>45597</v>
      </c>
      <c r="E327" s="1" cm="1">
        <f t="array" ref="E327">DATE(YEAR(A327),_xlfn.IFS(MONTH(A327)&lt;=3,1,MONTH(A327)&lt;=6,4,MONTH(A327)&lt;=9,7,MONTH(A327)&lt;=12,10),1)</f>
        <v>45566</v>
      </c>
      <c r="F327" s="1">
        <f t="shared" si="32"/>
        <v>45292</v>
      </c>
      <c r="G327">
        <f t="shared" si="33"/>
        <v>11</v>
      </c>
      <c r="H327">
        <f t="shared" si="34"/>
        <v>4</v>
      </c>
      <c r="I327">
        <f t="shared" si="35"/>
        <v>47</v>
      </c>
      <c r="J327" t="str" cm="1">
        <f t="array" ref="J327">_xlfn.IFS(H327&lt;6,"Weekday",H327&gt;5,"Weekend")</f>
        <v>Weekday</v>
      </c>
    </row>
    <row r="328" spans="1:10" x14ac:dyDescent="0.25">
      <c r="A328" s="1">
        <v>45618</v>
      </c>
      <c r="B328" s="1" t="str" cm="1">
        <f t="array" ref="B328">_xlfn.IFS(H328=1,"Monday",H328=2,"Tuesday",H328=3,"Wednesday",H328=4,"Thursday",H328=5,"Friday",H328=6,"Saturday",H328=7,"Sunday")</f>
        <v>Friday</v>
      </c>
      <c r="C328" s="1">
        <f t="shared" si="30"/>
        <v>45614</v>
      </c>
      <c r="D328" s="1">
        <f t="shared" si="31"/>
        <v>45597</v>
      </c>
      <c r="E328" s="1" cm="1">
        <f t="array" ref="E328">DATE(YEAR(A328),_xlfn.IFS(MONTH(A328)&lt;=3,1,MONTH(A328)&lt;=6,4,MONTH(A328)&lt;=9,7,MONTH(A328)&lt;=12,10),1)</f>
        <v>45566</v>
      </c>
      <c r="F328" s="1">
        <f t="shared" si="32"/>
        <v>45292</v>
      </c>
      <c r="G328">
        <f t="shared" si="33"/>
        <v>11</v>
      </c>
      <c r="H328">
        <f t="shared" si="34"/>
        <v>5</v>
      </c>
      <c r="I328">
        <f t="shared" si="35"/>
        <v>47</v>
      </c>
      <c r="J328" t="str" cm="1">
        <f t="array" ref="J328">_xlfn.IFS(H328&lt;6,"Weekday",H328&gt;5,"Weekend")</f>
        <v>Weekday</v>
      </c>
    </row>
    <row r="329" spans="1:10" x14ac:dyDescent="0.25">
      <c r="A329" s="1">
        <v>45619</v>
      </c>
      <c r="B329" s="1" t="str" cm="1">
        <f t="array" ref="B329">_xlfn.IFS(H329=1,"Monday",H329=2,"Tuesday",H329=3,"Wednesday",H329=4,"Thursday",H329=5,"Friday",H329=6,"Saturday",H329=7,"Sunday")</f>
        <v>Saturday</v>
      </c>
      <c r="C329" s="1">
        <f t="shared" si="30"/>
        <v>45614</v>
      </c>
      <c r="D329" s="1">
        <f t="shared" si="31"/>
        <v>45597</v>
      </c>
      <c r="E329" s="1" cm="1">
        <f t="array" ref="E329">DATE(YEAR(A329),_xlfn.IFS(MONTH(A329)&lt;=3,1,MONTH(A329)&lt;=6,4,MONTH(A329)&lt;=9,7,MONTH(A329)&lt;=12,10),1)</f>
        <v>45566</v>
      </c>
      <c r="F329" s="1">
        <f t="shared" si="32"/>
        <v>45292</v>
      </c>
      <c r="G329">
        <f t="shared" si="33"/>
        <v>11</v>
      </c>
      <c r="H329">
        <f t="shared" si="34"/>
        <v>6</v>
      </c>
      <c r="I329">
        <f t="shared" si="35"/>
        <v>47</v>
      </c>
      <c r="J329" t="str" cm="1">
        <f t="array" ref="J329">_xlfn.IFS(H329&lt;6,"Weekday",H329&gt;5,"Weekend")</f>
        <v>Weekend</v>
      </c>
    </row>
    <row r="330" spans="1:10" x14ac:dyDescent="0.25">
      <c r="A330" s="1">
        <v>45620</v>
      </c>
      <c r="B330" s="1" t="str" cm="1">
        <f t="array" ref="B330">_xlfn.IFS(H330=1,"Monday",H330=2,"Tuesday",H330=3,"Wednesday",H330=4,"Thursday",H330=5,"Friday",H330=6,"Saturday",H330=7,"Sunday")</f>
        <v>Sunday</v>
      </c>
      <c r="C330" s="1">
        <f t="shared" si="30"/>
        <v>45614</v>
      </c>
      <c r="D330" s="1">
        <f t="shared" si="31"/>
        <v>45597</v>
      </c>
      <c r="E330" s="1" cm="1">
        <f t="array" ref="E330">DATE(YEAR(A330),_xlfn.IFS(MONTH(A330)&lt;=3,1,MONTH(A330)&lt;=6,4,MONTH(A330)&lt;=9,7,MONTH(A330)&lt;=12,10),1)</f>
        <v>45566</v>
      </c>
      <c r="F330" s="1">
        <f t="shared" si="32"/>
        <v>45292</v>
      </c>
      <c r="G330">
        <f t="shared" si="33"/>
        <v>11</v>
      </c>
      <c r="H330">
        <f t="shared" si="34"/>
        <v>7</v>
      </c>
      <c r="I330">
        <f t="shared" si="35"/>
        <v>47</v>
      </c>
      <c r="J330" t="str" cm="1">
        <f t="array" ref="J330">_xlfn.IFS(H330&lt;6,"Weekday",H330&gt;5,"Weekend")</f>
        <v>Weekend</v>
      </c>
    </row>
    <row r="331" spans="1:10" x14ac:dyDescent="0.25">
      <c r="A331" s="1">
        <v>45621</v>
      </c>
      <c r="B331" s="1" t="str" cm="1">
        <f t="array" ref="B331">_xlfn.IFS(H331=1,"Monday",H331=2,"Tuesday",H331=3,"Wednesday",H331=4,"Thursday",H331=5,"Friday",H331=6,"Saturday",H331=7,"Sunday")</f>
        <v>Monday</v>
      </c>
      <c r="C331" s="1">
        <f t="shared" si="30"/>
        <v>45621</v>
      </c>
      <c r="D331" s="1">
        <f t="shared" si="31"/>
        <v>45597</v>
      </c>
      <c r="E331" s="1" cm="1">
        <f t="array" ref="E331">DATE(YEAR(A331),_xlfn.IFS(MONTH(A331)&lt;=3,1,MONTH(A331)&lt;=6,4,MONTH(A331)&lt;=9,7,MONTH(A331)&lt;=12,10),1)</f>
        <v>45566</v>
      </c>
      <c r="F331" s="1">
        <f t="shared" si="32"/>
        <v>45292</v>
      </c>
      <c r="G331">
        <f t="shared" si="33"/>
        <v>11</v>
      </c>
      <c r="H331">
        <f t="shared" si="34"/>
        <v>1</v>
      </c>
      <c r="I331">
        <f t="shared" si="35"/>
        <v>48</v>
      </c>
      <c r="J331" t="str" cm="1">
        <f t="array" ref="J331">_xlfn.IFS(H331&lt;6,"Weekday",H331&gt;5,"Weekend")</f>
        <v>Weekday</v>
      </c>
    </row>
    <row r="332" spans="1:10" x14ac:dyDescent="0.25">
      <c r="A332" s="1">
        <v>45622</v>
      </c>
      <c r="B332" s="1" t="str" cm="1">
        <f t="array" ref="B332">_xlfn.IFS(H332=1,"Monday",H332=2,"Tuesday",H332=3,"Wednesday",H332=4,"Thursday",H332=5,"Friday",H332=6,"Saturday",H332=7,"Sunday")</f>
        <v>Tuesday</v>
      </c>
      <c r="C332" s="1">
        <f t="shared" si="30"/>
        <v>45621</v>
      </c>
      <c r="D332" s="1">
        <f t="shared" si="31"/>
        <v>45597</v>
      </c>
      <c r="E332" s="1" cm="1">
        <f t="array" ref="E332">DATE(YEAR(A332),_xlfn.IFS(MONTH(A332)&lt;=3,1,MONTH(A332)&lt;=6,4,MONTH(A332)&lt;=9,7,MONTH(A332)&lt;=12,10),1)</f>
        <v>45566</v>
      </c>
      <c r="F332" s="1">
        <f t="shared" si="32"/>
        <v>45292</v>
      </c>
      <c r="G332">
        <f t="shared" si="33"/>
        <v>11</v>
      </c>
      <c r="H332">
        <f t="shared" si="34"/>
        <v>2</v>
      </c>
      <c r="I332">
        <f t="shared" si="35"/>
        <v>48</v>
      </c>
      <c r="J332" t="str" cm="1">
        <f t="array" ref="J332">_xlfn.IFS(H332&lt;6,"Weekday",H332&gt;5,"Weekend")</f>
        <v>Weekday</v>
      </c>
    </row>
    <row r="333" spans="1:10" x14ac:dyDescent="0.25">
      <c r="A333" s="1">
        <v>45623</v>
      </c>
      <c r="B333" s="1" t="str" cm="1">
        <f t="array" ref="B333">_xlfn.IFS(H333=1,"Monday",H333=2,"Tuesday",H333=3,"Wednesday",H333=4,"Thursday",H333=5,"Friday",H333=6,"Saturday",H333=7,"Sunday")</f>
        <v>Wednesday</v>
      </c>
      <c r="C333" s="1">
        <f t="shared" si="30"/>
        <v>45621</v>
      </c>
      <c r="D333" s="1">
        <f t="shared" si="31"/>
        <v>45597</v>
      </c>
      <c r="E333" s="1" cm="1">
        <f t="array" ref="E333">DATE(YEAR(A333),_xlfn.IFS(MONTH(A333)&lt;=3,1,MONTH(A333)&lt;=6,4,MONTH(A333)&lt;=9,7,MONTH(A333)&lt;=12,10),1)</f>
        <v>45566</v>
      </c>
      <c r="F333" s="1">
        <f t="shared" si="32"/>
        <v>45292</v>
      </c>
      <c r="G333">
        <f t="shared" si="33"/>
        <v>11</v>
      </c>
      <c r="H333">
        <f t="shared" si="34"/>
        <v>3</v>
      </c>
      <c r="I333">
        <f t="shared" si="35"/>
        <v>48</v>
      </c>
      <c r="J333" t="str" cm="1">
        <f t="array" ref="J333">_xlfn.IFS(H333&lt;6,"Weekday",H333&gt;5,"Weekend")</f>
        <v>Weekday</v>
      </c>
    </row>
    <row r="334" spans="1:10" x14ac:dyDescent="0.25">
      <c r="A334" s="1">
        <v>45624</v>
      </c>
      <c r="B334" s="1" t="str" cm="1">
        <f t="array" ref="B334">_xlfn.IFS(H334=1,"Monday",H334=2,"Tuesday",H334=3,"Wednesday",H334=4,"Thursday",H334=5,"Friday",H334=6,"Saturday",H334=7,"Sunday")</f>
        <v>Thursday</v>
      </c>
      <c r="C334" s="1">
        <f t="shared" si="30"/>
        <v>45621</v>
      </c>
      <c r="D334" s="1">
        <f t="shared" si="31"/>
        <v>45597</v>
      </c>
      <c r="E334" s="1" cm="1">
        <f t="array" ref="E334">DATE(YEAR(A334),_xlfn.IFS(MONTH(A334)&lt;=3,1,MONTH(A334)&lt;=6,4,MONTH(A334)&lt;=9,7,MONTH(A334)&lt;=12,10),1)</f>
        <v>45566</v>
      </c>
      <c r="F334" s="1">
        <f t="shared" si="32"/>
        <v>45292</v>
      </c>
      <c r="G334">
        <f t="shared" si="33"/>
        <v>11</v>
      </c>
      <c r="H334">
        <f t="shared" si="34"/>
        <v>4</v>
      </c>
      <c r="I334">
        <f t="shared" si="35"/>
        <v>48</v>
      </c>
      <c r="J334" t="str" cm="1">
        <f t="array" ref="J334">_xlfn.IFS(H334&lt;6,"Weekday",H334&gt;5,"Weekend")</f>
        <v>Weekday</v>
      </c>
    </row>
    <row r="335" spans="1:10" x14ac:dyDescent="0.25">
      <c r="A335" s="1">
        <v>45625</v>
      </c>
      <c r="B335" s="1" t="str" cm="1">
        <f t="array" ref="B335">_xlfn.IFS(H335=1,"Monday",H335=2,"Tuesday",H335=3,"Wednesday",H335=4,"Thursday",H335=5,"Friday",H335=6,"Saturday",H335=7,"Sunday")</f>
        <v>Friday</v>
      </c>
      <c r="C335" s="1">
        <f t="shared" si="30"/>
        <v>45621</v>
      </c>
      <c r="D335" s="1">
        <f t="shared" si="31"/>
        <v>45597</v>
      </c>
      <c r="E335" s="1" cm="1">
        <f t="array" ref="E335">DATE(YEAR(A335),_xlfn.IFS(MONTH(A335)&lt;=3,1,MONTH(A335)&lt;=6,4,MONTH(A335)&lt;=9,7,MONTH(A335)&lt;=12,10),1)</f>
        <v>45566</v>
      </c>
      <c r="F335" s="1">
        <f t="shared" si="32"/>
        <v>45292</v>
      </c>
      <c r="G335">
        <f t="shared" si="33"/>
        <v>11</v>
      </c>
      <c r="H335">
        <f t="shared" si="34"/>
        <v>5</v>
      </c>
      <c r="I335">
        <f t="shared" si="35"/>
        <v>48</v>
      </c>
      <c r="J335" t="str" cm="1">
        <f t="array" ref="J335">_xlfn.IFS(H335&lt;6,"Weekday",H335&gt;5,"Weekend")</f>
        <v>Weekday</v>
      </c>
    </row>
    <row r="336" spans="1:10" x14ac:dyDescent="0.25">
      <c r="A336" s="1">
        <v>45626</v>
      </c>
      <c r="B336" s="1" t="str" cm="1">
        <f t="array" ref="B336">_xlfn.IFS(H336=1,"Monday",H336=2,"Tuesday",H336=3,"Wednesday",H336=4,"Thursday",H336=5,"Friday",H336=6,"Saturday",H336=7,"Sunday")</f>
        <v>Saturday</v>
      </c>
      <c r="C336" s="1">
        <f t="shared" si="30"/>
        <v>45621</v>
      </c>
      <c r="D336" s="1">
        <f t="shared" si="31"/>
        <v>45597</v>
      </c>
      <c r="E336" s="1" cm="1">
        <f t="array" ref="E336">DATE(YEAR(A336),_xlfn.IFS(MONTH(A336)&lt;=3,1,MONTH(A336)&lt;=6,4,MONTH(A336)&lt;=9,7,MONTH(A336)&lt;=12,10),1)</f>
        <v>45566</v>
      </c>
      <c r="F336" s="1">
        <f t="shared" si="32"/>
        <v>45292</v>
      </c>
      <c r="G336">
        <f t="shared" si="33"/>
        <v>11</v>
      </c>
      <c r="H336">
        <f t="shared" si="34"/>
        <v>6</v>
      </c>
      <c r="I336">
        <f t="shared" si="35"/>
        <v>48</v>
      </c>
      <c r="J336" t="str" cm="1">
        <f t="array" ref="J336">_xlfn.IFS(H336&lt;6,"Weekday",H336&gt;5,"Weekend")</f>
        <v>Weekend</v>
      </c>
    </row>
    <row r="337" spans="1:10" x14ac:dyDescent="0.25">
      <c r="A337" s="1">
        <v>45627</v>
      </c>
      <c r="B337" s="1" t="str" cm="1">
        <f t="array" ref="B337">_xlfn.IFS(H337=1,"Monday",H337=2,"Tuesday",H337=3,"Wednesday",H337=4,"Thursday",H337=5,"Friday",H337=6,"Saturday",H337=7,"Sunday")</f>
        <v>Sunday</v>
      </c>
      <c r="C337" s="1">
        <f t="shared" si="30"/>
        <v>45621</v>
      </c>
      <c r="D337" s="1">
        <f t="shared" si="31"/>
        <v>45627</v>
      </c>
      <c r="E337" s="1" cm="1">
        <f t="array" ref="E337">DATE(YEAR(A337),_xlfn.IFS(MONTH(A337)&lt;=3,1,MONTH(A337)&lt;=6,4,MONTH(A337)&lt;=9,7,MONTH(A337)&lt;=12,10),1)</f>
        <v>45566</v>
      </c>
      <c r="F337" s="1">
        <f t="shared" si="32"/>
        <v>45292</v>
      </c>
      <c r="G337">
        <f t="shared" si="33"/>
        <v>12</v>
      </c>
      <c r="H337">
        <f t="shared" si="34"/>
        <v>7</v>
      </c>
      <c r="I337">
        <f t="shared" si="35"/>
        <v>48</v>
      </c>
      <c r="J337" t="str" cm="1">
        <f t="array" ref="J337">_xlfn.IFS(H337&lt;6,"Weekday",H337&gt;5,"Weekend")</f>
        <v>Weekend</v>
      </c>
    </row>
    <row r="338" spans="1:10" x14ac:dyDescent="0.25">
      <c r="A338" s="1">
        <v>45628</v>
      </c>
      <c r="B338" s="1" t="str" cm="1">
        <f t="array" ref="B338">_xlfn.IFS(H338=1,"Monday",H338=2,"Tuesday",H338=3,"Wednesday",H338=4,"Thursday",H338=5,"Friday",H338=6,"Saturday",H338=7,"Sunday")</f>
        <v>Monday</v>
      </c>
      <c r="C338" s="1">
        <f t="shared" si="30"/>
        <v>45628</v>
      </c>
      <c r="D338" s="1">
        <f t="shared" si="31"/>
        <v>45627</v>
      </c>
      <c r="E338" s="1" cm="1">
        <f t="array" ref="E338">DATE(YEAR(A338),_xlfn.IFS(MONTH(A338)&lt;=3,1,MONTH(A338)&lt;=6,4,MONTH(A338)&lt;=9,7,MONTH(A338)&lt;=12,10),1)</f>
        <v>45566</v>
      </c>
      <c r="F338" s="1">
        <f t="shared" si="32"/>
        <v>45292</v>
      </c>
      <c r="G338">
        <f t="shared" si="33"/>
        <v>12</v>
      </c>
      <c r="H338">
        <f t="shared" si="34"/>
        <v>1</v>
      </c>
      <c r="I338">
        <f t="shared" si="35"/>
        <v>49</v>
      </c>
      <c r="J338" t="str" cm="1">
        <f t="array" ref="J338">_xlfn.IFS(H338&lt;6,"Weekday",H338&gt;5,"Weekend")</f>
        <v>Weekday</v>
      </c>
    </row>
    <row r="339" spans="1:10" x14ac:dyDescent="0.25">
      <c r="A339" s="1">
        <v>45629</v>
      </c>
      <c r="B339" s="1" t="str" cm="1">
        <f t="array" ref="B339">_xlfn.IFS(H339=1,"Monday",H339=2,"Tuesday",H339=3,"Wednesday",H339=4,"Thursday",H339=5,"Friday",H339=6,"Saturday",H339=7,"Sunday")</f>
        <v>Tuesday</v>
      </c>
      <c r="C339" s="1">
        <f t="shared" si="30"/>
        <v>45628</v>
      </c>
      <c r="D339" s="1">
        <f t="shared" si="31"/>
        <v>45627</v>
      </c>
      <c r="E339" s="1" cm="1">
        <f t="array" ref="E339">DATE(YEAR(A339),_xlfn.IFS(MONTH(A339)&lt;=3,1,MONTH(A339)&lt;=6,4,MONTH(A339)&lt;=9,7,MONTH(A339)&lt;=12,10),1)</f>
        <v>45566</v>
      </c>
      <c r="F339" s="1">
        <f t="shared" si="32"/>
        <v>45292</v>
      </c>
      <c r="G339">
        <f t="shared" si="33"/>
        <v>12</v>
      </c>
      <c r="H339">
        <f t="shared" si="34"/>
        <v>2</v>
      </c>
      <c r="I339">
        <f t="shared" si="35"/>
        <v>49</v>
      </c>
      <c r="J339" t="str" cm="1">
        <f t="array" ref="J339">_xlfn.IFS(H339&lt;6,"Weekday",H339&gt;5,"Weekend")</f>
        <v>Weekday</v>
      </c>
    </row>
    <row r="340" spans="1:10" x14ac:dyDescent="0.25">
      <c r="A340" s="1">
        <v>45630</v>
      </c>
      <c r="B340" s="1" t="str" cm="1">
        <f t="array" ref="B340">_xlfn.IFS(H340=1,"Monday",H340=2,"Tuesday",H340=3,"Wednesday",H340=4,"Thursday",H340=5,"Friday",H340=6,"Saturday",H340=7,"Sunday")</f>
        <v>Wednesday</v>
      </c>
      <c r="C340" s="1">
        <f t="shared" si="30"/>
        <v>45628</v>
      </c>
      <c r="D340" s="1">
        <f t="shared" si="31"/>
        <v>45627</v>
      </c>
      <c r="E340" s="1" cm="1">
        <f t="array" ref="E340">DATE(YEAR(A340),_xlfn.IFS(MONTH(A340)&lt;=3,1,MONTH(A340)&lt;=6,4,MONTH(A340)&lt;=9,7,MONTH(A340)&lt;=12,10),1)</f>
        <v>45566</v>
      </c>
      <c r="F340" s="1">
        <f t="shared" si="32"/>
        <v>45292</v>
      </c>
      <c r="G340">
        <f t="shared" si="33"/>
        <v>12</v>
      </c>
      <c r="H340">
        <f t="shared" si="34"/>
        <v>3</v>
      </c>
      <c r="I340">
        <f t="shared" si="35"/>
        <v>49</v>
      </c>
      <c r="J340" t="str" cm="1">
        <f t="array" ref="J340">_xlfn.IFS(H340&lt;6,"Weekday",H340&gt;5,"Weekend")</f>
        <v>Weekday</v>
      </c>
    </row>
    <row r="341" spans="1:10" x14ac:dyDescent="0.25">
      <c r="A341" s="1">
        <v>45631</v>
      </c>
      <c r="B341" s="1" t="str" cm="1">
        <f t="array" ref="B341">_xlfn.IFS(H341=1,"Monday",H341=2,"Tuesday",H341=3,"Wednesday",H341=4,"Thursday",H341=5,"Friday",H341=6,"Saturday",H341=7,"Sunday")</f>
        <v>Thursday</v>
      </c>
      <c r="C341" s="1">
        <f t="shared" si="30"/>
        <v>45628</v>
      </c>
      <c r="D341" s="1">
        <f t="shared" si="31"/>
        <v>45627</v>
      </c>
      <c r="E341" s="1" cm="1">
        <f t="array" ref="E341">DATE(YEAR(A341),_xlfn.IFS(MONTH(A341)&lt;=3,1,MONTH(A341)&lt;=6,4,MONTH(A341)&lt;=9,7,MONTH(A341)&lt;=12,10),1)</f>
        <v>45566</v>
      </c>
      <c r="F341" s="1">
        <f t="shared" si="32"/>
        <v>45292</v>
      </c>
      <c r="G341">
        <f t="shared" si="33"/>
        <v>12</v>
      </c>
      <c r="H341">
        <f t="shared" si="34"/>
        <v>4</v>
      </c>
      <c r="I341">
        <f t="shared" si="35"/>
        <v>49</v>
      </c>
      <c r="J341" t="str" cm="1">
        <f t="array" ref="J341">_xlfn.IFS(H341&lt;6,"Weekday",H341&gt;5,"Weekend")</f>
        <v>Weekday</v>
      </c>
    </row>
    <row r="342" spans="1:10" x14ac:dyDescent="0.25">
      <c r="A342" s="1">
        <v>45632</v>
      </c>
      <c r="B342" s="1" t="str" cm="1">
        <f t="array" ref="B342">_xlfn.IFS(H342=1,"Monday",H342=2,"Tuesday",H342=3,"Wednesday",H342=4,"Thursday",H342=5,"Friday",H342=6,"Saturday",H342=7,"Sunday")</f>
        <v>Friday</v>
      </c>
      <c r="C342" s="1">
        <f t="shared" si="30"/>
        <v>45628</v>
      </c>
      <c r="D342" s="1">
        <f t="shared" si="31"/>
        <v>45627</v>
      </c>
      <c r="E342" s="1" cm="1">
        <f t="array" ref="E342">DATE(YEAR(A342),_xlfn.IFS(MONTH(A342)&lt;=3,1,MONTH(A342)&lt;=6,4,MONTH(A342)&lt;=9,7,MONTH(A342)&lt;=12,10),1)</f>
        <v>45566</v>
      </c>
      <c r="F342" s="1">
        <f t="shared" si="32"/>
        <v>45292</v>
      </c>
      <c r="G342">
        <f t="shared" si="33"/>
        <v>12</v>
      </c>
      <c r="H342">
        <f t="shared" si="34"/>
        <v>5</v>
      </c>
      <c r="I342">
        <f t="shared" si="35"/>
        <v>49</v>
      </c>
      <c r="J342" t="str" cm="1">
        <f t="array" ref="J342">_xlfn.IFS(H342&lt;6,"Weekday",H342&gt;5,"Weekend")</f>
        <v>Weekday</v>
      </c>
    </row>
    <row r="343" spans="1:10" x14ac:dyDescent="0.25">
      <c r="A343" s="1">
        <v>45633</v>
      </c>
      <c r="B343" s="1" t="str" cm="1">
        <f t="array" ref="B343">_xlfn.IFS(H343=1,"Monday",H343=2,"Tuesday",H343=3,"Wednesday",H343=4,"Thursday",H343=5,"Friday",H343=6,"Saturday",H343=7,"Sunday")</f>
        <v>Saturday</v>
      </c>
      <c r="C343" s="1">
        <f t="shared" si="30"/>
        <v>45628</v>
      </c>
      <c r="D343" s="1">
        <f t="shared" si="31"/>
        <v>45627</v>
      </c>
      <c r="E343" s="1" cm="1">
        <f t="array" ref="E343">DATE(YEAR(A343),_xlfn.IFS(MONTH(A343)&lt;=3,1,MONTH(A343)&lt;=6,4,MONTH(A343)&lt;=9,7,MONTH(A343)&lt;=12,10),1)</f>
        <v>45566</v>
      </c>
      <c r="F343" s="1">
        <f t="shared" si="32"/>
        <v>45292</v>
      </c>
      <c r="G343">
        <f t="shared" si="33"/>
        <v>12</v>
      </c>
      <c r="H343">
        <f t="shared" si="34"/>
        <v>6</v>
      </c>
      <c r="I343">
        <f t="shared" si="35"/>
        <v>49</v>
      </c>
      <c r="J343" t="str" cm="1">
        <f t="array" ref="J343">_xlfn.IFS(H343&lt;6,"Weekday",H343&gt;5,"Weekend")</f>
        <v>Weekend</v>
      </c>
    </row>
    <row r="344" spans="1:10" x14ac:dyDescent="0.25">
      <c r="A344" s="1">
        <v>45634</v>
      </c>
      <c r="B344" s="1" t="str" cm="1">
        <f t="array" ref="B344">_xlfn.IFS(H344=1,"Monday",H344=2,"Tuesday",H344=3,"Wednesday",H344=4,"Thursday",H344=5,"Friday",H344=6,"Saturday",H344=7,"Sunday")</f>
        <v>Sunday</v>
      </c>
      <c r="C344" s="1">
        <f t="shared" si="30"/>
        <v>45628</v>
      </c>
      <c r="D344" s="1">
        <f t="shared" si="31"/>
        <v>45627</v>
      </c>
      <c r="E344" s="1" cm="1">
        <f t="array" ref="E344">DATE(YEAR(A344),_xlfn.IFS(MONTH(A344)&lt;=3,1,MONTH(A344)&lt;=6,4,MONTH(A344)&lt;=9,7,MONTH(A344)&lt;=12,10),1)</f>
        <v>45566</v>
      </c>
      <c r="F344" s="1">
        <f t="shared" si="32"/>
        <v>45292</v>
      </c>
      <c r="G344">
        <f t="shared" si="33"/>
        <v>12</v>
      </c>
      <c r="H344">
        <f t="shared" si="34"/>
        <v>7</v>
      </c>
      <c r="I344">
        <f t="shared" si="35"/>
        <v>49</v>
      </c>
      <c r="J344" t="str" cm="1">
        <f t="array" ref="J344">_xlfn.IFS(H344&lt;6,"Weekday",H344&gt;5,"Weekend")</f>
        <v>Weekend</v>
      </c>
    </row>
    <row r="345" spans="1:10" x14ac:dyDescent="0.25">
      <c r="A345" s="1">
        <v>45635</v>
      </c>
      <c r="B345" s="1" t="str" cm="1">
        <f t="array" ref="B345">_xlfn.IFS(H345=1,"Monday",H345=2,"Tuesday",H345=3,"Wednesday",H345=4,"Thursday",H345=5,"Friday",H345=6,"Saturday",H345=7,"Sunday")</f>
        <v>Monday</v>
      </c>
      <c r="C345" s="1">
        <f t="shared" si="30"/>
        <v>45635</v>
      </c>
      <c r="D345" s="1">
        <f t="shared" si="31"/>
        <v>45627</v>
      </c>
      <c r="E345" s="1" cm="1">
        <f t="array" ref="E345">DATE(YEAR(A345),_xlfn.IFS(MONTH(A345)&lt;=3,1,MONTH(A345)&lt;=6,4,MONTH(A345)&lt;=9,7,MONTH(A345)&lt;=12,10),1)</f>
        <v>45566</v>
      </c>
      <c r="F345" s="1">
        <f t="shared" si="32"/>
        <v>45292</v>
      </c>
      <c r="G345">
        <f t="shared" si="33"/>
        <v>12</v>
      </c>
      <c r="H345">
        <f t="shared" si="34"/>
        <v>1</v>
      </c>
      <c r="I345">
        <f t="shared" si="35"/>
        <v>50</v>
      </c>
      <c r="J345" t="str" cm="1">
        <f t="array" ref="J345">_xlfn.IFS(H345&lt;6,"Weekday",H345&gt;5,"Weekend")</f>
        <v>Weekday</v>
      </c>
    </row>
    <row r="346" spans="1:10" x14ac:dyDescent="0.25">
      <c r="A346" s="1">
        <v>45636</v>
      </c>
      <c r="B346" s="1" t="str" cm="1">
        <f t="array" ref="B346">_xlfn.IFS(H346=1,"Monday",H346=2,"Tuesday",H346=3,"Wednesday",H346=4,"Thursday",H346=5,"Friday",H346=6,"Saturday",H346=7,"Sunday")</f>
        <v>Tuesday</v>
      </c>
      <c r="C346" s="1">
        <f t="shared" si="30"/>
        <v>45635</v>
      </c>
      <c r="D346" s="1">
        <f t="shared" si="31"/>
        <v>45627</v>
      </c>
      <c r="E346" s="1" cm="1">
        <f t="array" ref="E346">DATE(YEAR(A346),_xlfn.IFS(MONTH(A346)&lt;=3,1,MONTH(A346)&lt;=6,4,MONTH(A346)&lt;=9,7,MONTH(A346)&lt;=12,10),1)</f>
        <v>45566</v>
      </c>
      <c r="F346" s="1">
        <f t="shared" si="32"/>
        <v>45292</v>
      </c>
      <c r="G346">
        <f t="shared" si="33"/>
        <v>12</v>
      </c>
      <c r="H346">
        <f t="shared" si="34"/>
        <v>2</v>
      </c>
      <c r="I346">
        <f t="shared" si="35"/>
        <v>50</v>
      </c>
      <c r="J346" t="str" cm="1">
        <f t="array" ref="J346">_xlfn.IFS(H346&lt;6,"Weekday",H346&gt;5,"Weekend")</f>
        <v>Weekday</v>
      </c>
    </row>
    <row r="347" spans="1:10" x14ac:dyDescent="0.25">
      <c r="A347" s="1">
        <v>45637</v>
      </c>
      <c r="B347" s="1" t="str" cm="1">
        <f t="array" ref="B347">_xlfn.IFS(H347=1,"Monday",H347=2,"Tuesday",H347=3,"Wednesday",H347=4,"Thursday",H347=5,"Friday",H347=6,"Saturday",H347=7,"Sunday")</f>
        <v>Wednesday</v>
      </c>
      <c r="C347" s="1">
        <f t="shared" si="30"/>
        <v>45635</v>
      </c>
      <c r="D347" s="1">
        <f t="shared" si="31"/>
        <v>45627</v>
      </c>
      <c r="E347" s="1" cm="1">
        <f t="array" ref="E347">DATE(YEAR(A347),_xlfn.IFS(MONTH(A347)&lt;=3,1,MONTH(A347)&lt;=6,4,MONTH(A347)&lt;=9,7,MONTH(A347)&lt;=12,10),1)</f>
        <v>45566</v>
      </c>
      <c r="F347" s="1">
        <f t="shared" si="32"/>
        <v>45292</v>
      </c>
      <c r="G347">
        <f t="shared" si="33"/>
        <v>12</v>
      </c>
      <c r="H347">
        <f t="shared" si="34"/>
        <v>3</v>
      </c>
      <c r="I347">
        <f t="shared" si="35"/>
        <v>50</v>
      </c>
      <c r="J347" t="str" cm="1">
        <f t="array" ref="J347">_xlfn.IFS(H347&lt;6,"Weekday",H347&gt;5,"Weekend")</f>
        <v>Weekday</v>
      </c>
    </row>
    <row r="348" spans="1:10" x14ac:dyDescent="0.25">
      <c r="A348" s="1">
        <v>45638</v>
      </c>
      <c r="B348" s="1" t="str" cm="1">
        <f t="array" ref="B348">_xlfn.IFS(H348=1,"Monday",H348=2,"Tuesday",H348=3,"Wednesday",H348=4,"Thursday",H348=5,"Friday",H348=6,"Saturday",H348=7,"Sunday")</f>
        <v>Thursday</v>
      </c>
      <c r="C348" s="1">
        <f t="shared" si="30"/>
        <v>45635</v>
      </c>
      <c r="D348" s="1">
        <f t="shared" si="31"/>
        <v>45627</v>
      </c>
      <c r="E348" s="1" cm="1">
        <f t="array" ref="E348">DATE(YEAR(A348),_xlfn.IFS(MONTH(A348)&lt;=3,1,MONTH(A348)&lt;=6,4,MONTH(A348)&lt;=9,7,MONTH(A348)&lt;=12,10),1)</f>
        <v>45566</v>
      </c>
      <c r="F348" s="1">
        <f t="shared" si="32"/>
        <v>45292</v>
      </c>
      <c r="G348">
        <f t="shared" si="33"/>
        <v>12</v>
      </c>
      <c r="H348">
        <f t="shared" si="34"/>
        <v>4</v>
      </c>
      <c r="I348">
        <f t="shared" si="35"/>
        <v>50</v>
      </c>
      <c r="J348" t="str" cm="1">
        <f t="array" ref="J348">_xlfn.IFS(H348&lt;6,"Weekday",H348&gt;5,"Weekend")</f>
        <v>Weekday</v>
      </c>
    </row>
    <row r="349" spans="1:10" x14ac:dyDescent="0.25">
      <c r="A349" s="1">
        <v>45639</v>
      </c>
      <c r="B349" s="1" t="str" cm="1">
        <f t="array" ref="B349">_xlfn.IFS(H349=1,"Monday",H349=2,"Tuesday",H349=3,"Wednesday",H349=4,"Thursday",H349=5,"Friday",H349=6,"Saturday",H349=7,"Sunday")</f>
        <v>Friday</v>
      </c>
      <c r="C349" s="1">
        <f t="shared" si="30"/>
        <v>45635</v>
      </c>
      <c r="D349" s="1">
        <f t="shared" si="31"/>
        <v>45627</v>
      </c>
      <c r="E349" s="1" cm="1">
        <f t="array" ref="E349">DATE(YEAR(A349),_xlfn.IFS(MONTH(A349)&lt;=3,1,MONTH(A349)&lt;=6,4,MONTH(A349)&lt;=9,7,MONTH(A349)&lt;=12,10),1)</f>
        <v>45566</v>
      </c>
      <c r="F349" s="1">
        <f t="shared" si="32"/>
        <v>45292</v>
      </c>
      <c r="G349">
        <f t="shared" si="33"/>
        <v>12</v>
      </c>
      <c r="H349">
        <f t="shared" si="34"/>
        <v>5</v>
      </c>
      <c r="I349">
        <f t="shared" si="35"/>
        <v>50</v>
      </c>
      <c r="J349" t="str" cm="1">
        <f t="array" ref="J349">_xlfn.IFS(H349&lt;6,"Weekday",H349&gt;5,"Weekend")</f>
        <v>Weekday</v>
      </c>
    </row>
    <row r="350" spans="1:10" x14ac:dyDescent="0.25">
      <c r="A350" s="1">
        <v>45640</v>
      </c>
      <c r="B350" s="1" t="str" cm="1">
        <f t="array" ref="B350">_xlfn.IFS(H350=1,"Monday",H350=2,"Tuesday",H350=3,"Wednesday",H350=4,"Thursday",H350=5,"Friday",H350=6,"Saturday",H350=7,"Sunday")</f>
        <v>Saturday</v>
      </c>
      <c r="C350" s="1">
        <f t="shared" si="30"/>
        <v>45635</v>
      </c>
      <c r="D350" s="1">
        <f t="shared" si="31"/>
        <v>45627</v>
      </c>
      <c r="E350" s="1" cm="1">
        <f t="array" ref="E350">DATE(YEAR(A350),_xlfn.IFS(MONTH(A350)&lt;=3,1,MONTH(A350)&lt;=6,4,MONTH(A350)&lt;=9,7,MONTH(A350)&lt;=12,10),1)</f>
        <v>45566</v>
      </c>
      <c r="F350" s="1">
        <f t="shared" si="32"/>
        <v>45292</v>
      </c>
      <c r="G350">
        <f t="shared" si="33"/>
        <v>12</v>
      </c>
      <c r="H350">
        <f t="shared" si="34"/>
        <v>6</v>
      </c>
      <c r="I350">
        <f t="shared" si="35"/>
        <v>50</v>
      </c>
      <c r="J350" t="str" cm="1">
        <f t="array" ref="J350">_xlfn.IFS(H350&lt;6,"Weekday",H350&gt;5,"Weekend")</f>
        <v>Weekend</v>
      </c>
    </row>
    <row r="351" spans="1:10" x14ac:dyDescent="0.25">
      <c r="A351" s="1">
        <v>45641</v>
      </c>
      <c r="B351" s="1" t="str" cm="1">
        <f t="array" ref="B351">_xlfn.IFS(H351=1,"Monday",H351=2,"Tuesday",H351=3,"Wednesday",H351=4,"Thursday",H351=5,"Friday",H351=6,"Saturday",H351=7,"Sunday")</f>
        <v>Sunday</v>
      </c>
      <c r="C351" s="1">
        <f t="shared" si="30"/>
        <v>45635</v>
      </c>
      <c r="D351" s="1">
        <f t="shared" si="31"/>
        <v>45627</v>
      </c>
      <c r="E351" s="1" cm="1">
        <f t="array" ref="E351">DATE(YEAR(A351),_xlfn.IFS(MONTH(A351)&lt;=3,1,MONTH(A351)&lt;=6,4,MONTH(A351)&lt;=9,7,MONTH(A351)&lt;=12,10),1)</f>
        <v>45566</v>
      </c>
      <c r="F351" s="1">
        <f t="shared" si="32"/>
        <v>45292</v>
      </c>
      <c r="G351">
        <f t="shared" si="33"/>
        <v>12</v>
      </c>
      <c r="H351">
        <f t="shared" si="34"/>
        <v>7</v>
      </c>
      <c r="I351">
        <f t="shared" si="35"/>
        <v>50</v>
      </c>
      <c r="J351" t="str" cm="1">
        <f t="array" ref="J351">_xlfn.IFS(H351&lt;6,"Weekday",H351&gt;5,"Weekend")</f>
        <v>Weekend</v>
      </c>
    </row>
    <row r="352" spans="1:10" x14ac:dyDescent="0.25">
      <c r="A352" s="1">
        <v>45642</v>
      </c>
      <c r="B352" s="1" t="str" cm="1">
        <f t="array" ref="B352">_xlfn.IFS(H352=1,"Monday",H352=2,"Tuesday",H352=3,"Wednesday",H352=4,"Thursday",H352=5,"Friday",H352=6,"Saturday",H352=7,"Sunday")</f>
        <v>Monday</v>
      </c>
      <c r="C352" s="1">
        <f t="shared" si="30"/>
        <v>45642</v>
      </c>
      <c r="D352" s="1">
        <f t="shared" si="31"/>
        <v>45627</v>
      </c>
      <c r="E352" s="1" cm="1">
        <f t="array" ref="E352">DATE(YEAR(A352),_xlfn.IFS(MONTH(A352)&lt;=3,1,MONTH(A352)&lt;=6,4,MONTH(A352)&lt;=9,7,MONTH(A352)&lt;=12,10),1)</f>
        <v>45566</v>
      </c>
      <c r="F352" s="1">
        <f t="shared" si="32"/>
        <v>45292</v>
      </c>
      <c r="G352">
        <f t="shared" si="33"/>
        <v>12</v>
      </c>
      <c r="H352">
        <f t="shared" si="34"/>
        <v>1</v>
      </c>
      <c r="I352">
        <f t="shared" si="35"/>
        <v>51</v>
      </c>
      <c r="J352" t="str" cm="1">
        <f t="array" ref="J352">_xlfn.IFS(H352&lt;6,"Weekday",H352&gt;5,"Weekend")</f>
        <v>Weekday</v>
      </c>
    </row>
    <row r="353" spans="1:10" x14ac:dyDescent="0.25">
      <c r="A353" s="1">
        <v>45643</v>
      </c>
      <c r="B353" s="1" t="str" cm="1">
        <f t="array" ref="B353">_xlfn.IFS(H353=1,"Monday",H353=2,"Tuesday",H353=3,"Wednesday",H353=4,"Thursday",H353=5,"Friday",H353=6,"Saturday",H353=7,"Sunday")</f>
        <v>Tuesday</v>
      </c>
      <c r="C353" s="1">
        <f t="shared" si="30"/>
        <v>45642</v>
      </c>
      <c r="D353" s="1">
        <f t="shared" si="31"/>
        <v>45627</v>
      </c>
      <c r="E353" s="1" cm="1">
        <f t="array" ref="E353">DATE(YEAR(A353),_xlfn.IFS(MONTH(A353)&lt;=3,1,MONTH(A353)&lt;=6,4,MONTH(A353)&lt;=9,7,MONTH(A353)&lt;=12,10),1)</f>
        <v>45566</v>
      </c>
      <c r="F353" s="1">
        <f t="shared" si="32"/>
        <v>45292</v>
      </c>
      <c r="G353">
        <f t="shared" si="33"/>
        <v>12</v>
      </c>
      <c r="H353">
        <f t="shared" si="34"/>
        <v>2</v>
      </c>
      <c r="I353">
        <f t="shared" si="35"/>
        <v>51</v>
      </c>
      <c r="J353" t="str" cm="1">
        <f t="array" ref="J353">_xlfn.IFS(H353&lt;6,"Weekday",H353&gt;5,"Weekend")</f>
        <v>Weekday</v>
      </c>
    </row>
    <row r="354" spans="1:10" x14ac:dyDescent="0.25">
      <c r="A354" s="1">
        <v>45644</v>
      </c>
      <c r="B354" s="1" t="str" cm="1">
        <f t="array" ref="B354">_xlfn.IFS(H354=1,"Monday",H354=2,"Tuesday",H354=3,"Wednesday",H354=4,"Thursday",H354=5,"Friday",H354=6,"Saturday",H354=7,"Sunday")</f>
        <v>Wednesday</v>
      </c>
      <c r="C354" s="1">
        <f t="shared" si="30"/>
        <v>45642</v>
      </c>
      <c r="D354" s="1">
        <f t="shared" si="31"/>
        <v>45627</v>
      </c>
      <c r="E354" s="1" cm="1">
        <f t="array" ref="E354">DATE(YEAR(A354),_xlfn.IFS(MONTH(A354)&lt;=3,1,MONTH(A354)&lt;=6,4,MONTH(A354)&lt;=9,7,MONTH(A354)&lt;=12,10),1)</f>
        <v>45566</v>
      </c>
      <c r="F354" s="1">
        <f t="shared" si="32"/>
        <v>45292</v>
      </c>
      <c r="G354">
        <f t="shared" si="33"/>
        <v>12</v>
      </c>
      <c r="H354">
        <f t="shared" si="34"/>
        <v>3</v>
      </c>
      <c r="I354">
        <f t="shared" si="35"/>
        <v>51</v>
      </c>
      <c r="J354" t="str" cm="1">
        <f t="array" ref="J354">_xlfn.IFS(H354&lt;6,"Weekday",H354&gt;5,"Weekend")</f>
        <v>Weekday</v>
      </c>
    </row>
    <row r="355" spans="1:10" x14ac:dyDescent="0.25">
      <c r="A355" s="1">
        <v>45645</v>
      </c>
      <c r="B355" s="1" t="str" cm="1">
        <f t="array" ref="B355">_xlfn.IFS(H355=1,"Monday",H355=2,"Tuesday",H355=3,"Wednesday",H355=4,"Thursday",H355=5,"Friday",H355=6,"Saturday",H355=7,"Sunday")</f>
        <v>Thursday</v>
      </c>
      <c r="C355" s="1">
        <f t="shared" si="30"/>
        <v>45642</v>
      </c>
      <c r="D355" s="1">
        <f t="shared" si="31"/>
        <v>45627</v>
      </c>
      <c r="E355" s="1" cm="1">
        <f t="array" ref="E355">DATE(YEAR(A355),_xlfn.IFS(MONTH(A355)&lt;=3,1,MONTH(A355)&lt;=6,4,MONTH(A355)&lt;=9,7,MONTH(A355)&lt;=12,10),1)</f>
        <v>45566</v>
      </c>
      <c r="F355" s="1">
        <f t="shared" si="32"/>
        <v>45292</v>
      </c>
      <c r="G355">
        <f t="shared" si="33"/>
        <v>12</v>
      </c>
      <c r="H355">
        <f t="shared" si="34"/>
        <v>4</v>
      </c>
      <c r="I355">
        <f t="shared" si="35"/>
        <v>51</v>
      </c>
      <c r="J355" t="str" cm="1">
        <f t="array" ref="J355">_xlfn.IFS(H355&lt;6,"Weekday",H355&gt;5,"Weekend")</f>
        <v>Weekday</v>
      </c>
    </row>
    <row r="356" spans="1:10" x14ac:dyDescent="0.25">
      <c r="A356" s="1">
        <v>45646</v>
      </c>
      <c r="B356" s="1" t="str" cm="1">
        <f t="array" ref="B356">_xlfn.IFS(H356=1,"Monday",H356=2,"Tuesday",H356=3,"Wednesday",H356=4,"Thursday",H356=5,"Friday",H356=6,"Saturday",H356=7,"Sunday")</f>
        <v>Friday</v>
      </c>
      <c r="C356" s="1">
        <f t="shared" si="30"/>
        <v>45642</v>
      </c>
      <c r="D356" s="1">
        <f t="shared" si="31"/>
        <v>45627</v>
      </c>
      <c r="E356" s="1" cm="1">
        <f t="array" ref="E356">DATE(YEAR(A356),_xlfn.IFS(MONTH(A356)&lt;=3,1,MONTH(A356)&lt;=6,4,MONTH(A356)&lt;=9,7,MONTH(A356)&lt;=12,10),1)</f>
        <v>45566</v>
      </c>
      <c r="F356" s="1">
        <f t="shared" si="32"/>
        <v>45292</v>
      </c>
      <c r="G356">
        <f t="shared" si="33"/>
        <v>12</v>
      </c>
      <c r="H356">
        <f t="shared" si="34"/>
        <v>5</v>
      </c>
      <c r="I356">
        <f t="shared" si="35"/>
        <v>51</v>
      </c>
      <c r="J356" t="str" cm="1">
        <f t="array" ref="J356">_xlfn.IFS(H356&lt;6,"Weekday",H356&gt;5,"Weekend")</f>
        <v>Weekday</v>
      </c>
    </row>
    <row r="357" spans="1:10" x14ac:dyDescent="0.25">
      <c r="A357" s="1">
        <v>45647</v>
      </c>
      <c r="B357" s="1" t="str" cm="1">
        <f t="array" ref="B357">_xlfn.IFS(H357=1,"Monday",H357=2,"Tuesday",H357=3,"Wednesday",H357=4,"Thursday",H357=5,"Friday",H357=6,"Saturday",H357=7,"Sunday")</f>
        <v>Saturday</v>
      </c>
      <c r="C357" s="1">
        <f t="shared" si="30"/>
        <v>45642</v>
      </c>
      <c r="D357" s="1">
        <f t="shared" si="31"/>
        <v>45627</v>
      </c>
      <c r="E357" s="1" cm="1">
        <f t="array" ref="E357">DATE(YEAR(A357),_xlfn.IFS(MONTH(A357)&lt;=3,1,MONTH(A357)&lt;=6,4,MONTH(A357)&lt;=9,7,MONTH(A357)&lt;=12,10),1)</f>
        <v>45566</v>
      </c>
      <c r="F357" s="1">
        <f t="shared" si="32"/>
        <v>45292</v>
      </c>
      <c r="G357">
        <f t="shared" si="33"/>
        <v>12</v>
      </c>
      <c r="H357">
        <f t="shared" si="34"/>
        <v>6</v>
      </c>
      <c r="I357">
        <f t="shared" si="35"/>
        <v>51</v>
      </c>
      <c r="J357" t="str" cm="1">
        <f t="array" ref="J357">_xlfn.IFS(H357&lt;6,"Weekday",H357&gt;5,"Weekend")</f>
        <v>Weekend</v>
      </c>
    </row>
    <row r="358" spans="1:10" x14ac:dyDescent="0.25">
      <c r="A358" s="1">
        <v>45648</v>
      </c>
      <c r="B358" s="1" t="str" cm="1">
        <f t="array" ref="B358">_xlfn.IFS(H358=1,"Monday",H358=2,"Tuesday",H358=3,"Wednesday",H358=4,"Thursday",H358=5,"Friday",H358=6,"Saturday",H358=7,"Sunday")</f>
        <v>Sunday</v>
      </c>
      <c r="C358" s="1">
        <f t="shared" si="30"/>
        <v>45642</v>
      </c>
      <c r="D358" s="1">
        <f t="shared" si="31"/>
        <v>45627</v>
      </c>
      <c r="E358" s="1" cm="1">
        <f t="array" ref="E358">DATE(YEAR(A358),_xlfn.IFS(MONTH(A358)&lt;=3,1,MONTH(A358)&lt;=6,4,MONTH(A358)&lt;=9,7,MONTH(A358)&lt;=12,10),1)</f>
        <v>45566</v>
      </c>
      <c r="F358" s="1">
        <f t="shared" si="32"/>
        <v>45292</v>
      </c>
      <c r="G358">
        <f t="shared" si="33"/>
        <v>12</v>
      </c>
      <c r="H358">
        <f t="shared" si="34"/>
        <v>7</v>
      </c>
      <c r="I358">
        <f t="shared" si="35"/>
        <v>51</v>
      </c>
      <c r="J358" t="str" cm="1">
        <f t="array" ref="J358">_xlfn.IFS(H358&lt;6,"Weekday",H358&gt;5,"Weekend")</f>
        <v>Weekend</v>
      </c>
    </row>
    <row r="359" spans="1:10" x14ac:dyDescent="0.25">
      <c r="A359" s="1">
        <v>45649</v>
      </c>
      <c r="B359" s="1" t="str" cm="1">
        <f t="array" ref="B359">_xlfn.IFS(H359=1,"Monday",H359=2,"Tuesday",H359=3,"Wednesday",H359=4,"Thursday",H359=5,"Friday",H359=6,"Saturday",H359=7,"Sunday")</f>
        <v>Monday</v>
      </c>
      <c r="C359" s="1">
        <f t="shared" si="30"/>
        <v>45649</v>
      </c>
      <c r="D359" s="1">
        <f t="shared" si="31"/>
        <v>45627</v>
      </c>
      <c r="E359" s="1" cm="1">
        <f t="array" ref="E359">DATE(YEAR(A359),_xlfn.IFS(MONTH(A359)&lt;=3,1,MONTH(A359)&lt;=6,4,MONTH(A359)&lt;=9,7,MONTH(A359)&lt;=12,10),1)</f>
        <v>45566</v>
      </c>
      <c r="F359" s="1">
        <f t="shared" si="32"/>
        <v>45292</v>
      </c>
      <c r="G359">
        <f t="shared" si="33"/>
        <v>12</v>
      </c>
      <c r="H359">
        <f t="shared" si="34"/>
        <v>1</v>
      </c>
      <c r="I359">
        <f t="shared" si="35"/>
        <v>52</v>
      </c>
      <c r="J359" t="str" cm="1">
        <f t="array" ref="J359">_xlfn.IFS(H359&lt;6,"Weekday",H359&gt;5,"Weekend")</f>
        <v>Weekday</v>
      </c>
    </row>
    <row r="360" spans="1:10" x14ac:dyDescent="0.25">
      <c r="A360" s="1">
        <v>45650</v>
      </c>
      <c r="B360" s="1" t="str" cm="1">
        <f t="array" ref="B360">_xlfn.IFS(H360=1,"Monday",H360=2,"Tuesday",H360=3,"Wednesday",H360=4,"Thursday",H360=5,"Friday",H360=6,"Saturday",H360=7,"Sunday")</f>
        <v>Tuesday</v>
      </c>
      <c r="C360" s="1">
        <f t="shared" si="30"/>
        <v>45649</v>
      </c>
      <c r="D360" s="1">
        <f t="shared" si="31"/>
        <v>45627</v>
      </c>
      <c r="E360" s="1" cm="1">
        <f t="array" ref="E360">DATE(YEAR(A360),_xlfn.IFS(MONTH(A360)&lt;=3,1,MONTH(A360)&lt;=6,4,MONTH(A360)&lt;=9,7,MONTH(A360)&lt;=12,10),1)</f>
        <v>45566</v>
      </c>
      <c r="F360" s="1">
        <f t="shared" si="32"/>
        <v>45292</v>
      </c>
      <c r="G360">
        <f t="shared" si="33"/>
        <v>12</v>
      </c>
      <c r="H360">
        <f t="shared" si="34"/>
        <v>2</v>
      </c>
      <c r="I360">
        <f t="shared" si="35"/>
        <v>52</v>
      </c>
      <c r="J360" t="str" cm="1">
        <f t="array" ref="J360">_xlfn.IFS(H360&lt;6,"Weekday",H360&gt;5,"Weekend")</f>
        <v>Weekday</v>
      </c>
    </row>
    <row r="361" spans="1:10" x14ac:dyDescent="0.25">
      <c r="A361" s="1">
        <v>45651</v>
      </c>
      <c r="B361" s="1" t="str" cm="1">
        <f t="array" ref="B361">_xlfn.IFS(H361=1,"Monday",H361=2,"Tuesday",H361=3,"Wednesday",H361=4,"Thursday",H361=5,"Friday",H361=6,"Saturday",H361=7,"Sunday")</f>
        <v>Wednesday</v>
      </c>
      <c r="C361" s="1">
        <f t="shared" si="30"/>
        <v>45649</v>
      </c>
      <c r="D361" s="1">
        <f t="shared" si="31"/>
        <v>45627</v>
      </c>
      <c r="E361" s="1" cm="1">
        <f t="array" ref="E361">DATE(YEAR(A361),_xlfn.IFS(MONTH(A361)&lt;=3,1,MONTH(A361)&lt;=6,4,MONTH(A361)&lt;=9,7,MONTH(A361)&lt;=12,10),1)</f>
        <v>45566</v>
      </c>
      <c r="F361" s="1">
        <f t="shared" si="32"/>
        <v>45292</v>
      </c>
      <c r="G361">
        <f t="shared" si="33"/>
        <v>12</v>
      </c>
      <c r="H361">
        <f t="shared" si="34"/>
        <v>3</v>
      </c>
      <c r="I361">
        <f t="shared" si="35"/>
        <v>52</v>
      </c>
      <c r="J361" t="str" cm="1">
        <f t="array" ref="J361">_xlfn.IFS(H361&lt;6,"Weekday",H361&gt;5,"Weekend")</f>
        <v>Weekday</v>
      </c>
    </row>
    <row r="362" spans="1:10" x14ac:dyDescent="0.25">
      <c r="A362" s="1">
        <v>45652</v>
      </c>
      <c r="B362" s="1" t="str" cm="1">
        <f t="array" ref="B362">_xlfn.IFS(H362=1,"Monday",H362=2,"Tuesday",H362=3,"Wednesday",H362=4,"Thursday",H362=5,"Friday",H362=6,"Saturday",H362=7,"Sunday")</f>
        <v>Thursday</v>
      </c>
      <c r="C362" s="1">
        <f t="shared" si="30"/>
        <v>45649</v>
      </c>
      <c r="D362" s="1">
        <f t="shared" si="31"/>
        <v>45627</v>
      </c>
      <c r="E362" s="1" cm="1">
        <f t="array" ref="E362">DATE(YEAR(A362),_xlfn.IFS(MONTH(A362)&lt;=3,1,MONTH(A362)&lt;=6,4,MONTH(A362)&lt;=9,7,MONTH(A362)&lt;=12,10),1)</f>
        <v>45566</v>
      </c>
      <c r="F362" s="1">
        <f t="shared" si="32"/>
        <v>45292</v>
      </c>
      <c r="G362">
        <f t="shared" si="33"/>
        <v>12</v>
      </c>
      <c r="H362">
        <f t="shared" si="34"/>
        <v>4</v>
      </c>
      <c r="I362">
        <f t="shared" si="35"/>
        <v>52</v>
      </c>
      <c r="J362" t="str" cm="1">
        <f t="array" ref="J362">_xlfn.IFS(H362&lt;6,"Weekday",H362&gt;5,"Weekend")</f>
        <v>Weekday</v>
      </c>
    </row>
    <row r="363" spans="1:10" x14ac:dyDescent="0.25">
      <c r="A363" s="1">
        <v>45653</v>
      </c>
      <c r="B363" s="1" t="str" cm="1">
        <f t="array" ref="B363">_xlfn.IFS(H363=1,"Monday",H363=2,"Tuesday",H363=3,"Wednesday",H363=4,"Thursday",H363=5,"Friday",H363=6,"Saturday",H363=7,"Sunday")</f>
        <v>Friday</v>
      </c>
      <c r="C363" s="1">
        <f t="shared" si="30"/>
        <v>45649</v>
      </c>
      <c r="D363" s="1">
        <f t="shared" si="31"/>
        <v>45627</v>
      </c>
      <c r="E363" s="1" cm="1">
        <f t="array" ref="E363">DATE(YEAR(A363),_xlfn.IFS(MONTH(A363)&lt;=3,1,MONTH(A363)&lt;=6,4,MONTH(A363)&lt;=9,7,MONTH(A363)&lt;=12,10),1)</f>
        <v>45566</v>
      </c>
      <c r="F363" s="1">
        <f t="shared" si="32"/>
        <v>45292</v>
      </c>
      <c r="G363">
        <f t="shared" si="33"/>
        <v>12</v>
      </c>
      <c r="H363">
        <f t="shared" si="34"/>
        <v>5</v>
      </c>
      <c r="I363">
        <f t="shared" si="35"/>
        <v>52</v>
      </c>
      <c r="J363" t="str" cm="1">
        <f t="array" ref="J363">_xlfn.IFS(H363&lt;6,"Weekday",H363&gt;5,"Weekend")</f>
        <v>Weekday</v>
      </c>
    </row>
    <row r="364" spans="1:10" x14ac:dyDescent="0.25">
      <c r="A364" s="1">
        <v>45654</v>
      </c>
      <c r="B364" s="1" t="str" cm="1">
        <f t="array" ref="B364">_xlfn.IFS(H364=1,"Monday",H364=2,"Tuesday",H364=3,"Wednesday",H364=4,"Thursday",H364=5,"Friday",H364=6,"Saturday",H364=7,"Sunday")</f>
        <v>Saturday</v>
      </c>
      <c r="C364" s="1">
        <f t="shared" si="30"/>
        <v>45649</v>
      </c>
      <c r="D364" s="1">
        <f t="shared" si="31"/>
        <v>45627</v>
      </c>
      <c r="E364" s="1" cm="1">
        <f t="array" ref="E364">DATE(YEAR(A364),_xlfn.IFS(MONTH(A364)&lt;=3,1,MONTH(A364)&lt;=6,4,MONTH(A364)&lt;=9,7,MONTH(A364)&lt;=12,10),1)</f>
        <v>45566</v>
      </c>
      <c r="F364" s="1">
        <f t="shared" si="32"/>
        <v>45292</v>
      </c>
      <c r="G364">
        <f t="shared" si="33"/>
        <v>12</v>
      </c>
      <c r="H364">
        <f t="shared" si="34"/>
        <v>6</v>
      </c>
      <c r="I364">
        <f t="shared" si="35"/>
        <v>52</v>
      </c>
      <c r="J364" t="str" cm="1">
        <f t="array" ref="J364">_xlfn.IFS(H364&lt;6,"Weekday",H364&gt;5,"Weekend")</f>
        <v>Weekend</v>
      </c>
    </row>
    <row r="365" spans="1:10" x14ac:dyDescent="0.25">
      <c r="A365" s="1">
        <v>45655</v>
      </c>
      <c r="B365" s="1" t="str" cm="1">
        <f t="array" ref="B365">_xlfn.IFS(H365=1,"Monday",H365=2,"Tuesday",H365=3,"Wednesday",H365=4,"Thursday",H365=5,"Friday",H365=6,"Saturday",H365=7,"Sunday")</f>
        <v>Sunday</v>
      </c>
      <c r="C365" s="1">
        <f t="shared" si="30"/>
        <v>45649</v>
      </c>
      <c r="D365" s="1">
        <f t="shared" si="31"/>
        <v>45627</v>
      </c>
      <c r="E365" s="1" cm="1">
        <f t="array" ref="E365">DATE(YEAR(A365),_xlfn.IFS(MONTH(A365)&lt;=3,1,MONTH(A365)&lt;=6,4,MONTH(A365)&lt;=9,7,MONTH(A365)&lt;=12,10),1)</f>
        <v>45566</v>
      </c>
      <c r="F365" s="1">
        <f t="shared" si="32"/>
        <v>45292</v>
      </c>
      <c r="G365">
        <f t="shared" si="33"/>
        <v>12</v>
      </c>
      <c r="H365">
        <f t="shared" si="34"/>
        <v>7</v>
      </c>
      <c r="I365">
        <f t="shared" si="35"/>
        <v>52</v>
      </c>
      <c r="J365" t="str" cm="1">
        <f t="array" ref="J365">_xlfn.IFS(H365&lt;6,"Weekday",H365&gt;5,"Weekend")</f>
        <v>Weekend</v>
      </c>
    </row>
    <row r="366" spans="1:10" x14ac:dyDescent="0.25">
      <c r="A366" s="1">
        <v>45656</v>
      </c>
      <c r="B366" s="1" t="str" cm="1">
        <f t="array" ref="B366">_xlfn.IFS(H366=1,"Monday",H366=2,"Tuesday",H366=3,"Wednesday",H366=4,"Thursday",H366=5,"Friday",H366=6,"Saturday",H366=7,"Sunday")</f>
        <v>Monday</v>
      </c>
      <c r="C366" s="1">
        <f t="shared" si="30"/>
        <v>45656</v>
      </c>
      <c r="D366" s="1">
        <f t="shared" si="31"/>
        <v>45627</v>
      </c>
      <c r="E366" s="1" cm="1">
        <f t="array" ref="E366">DATE(YEAR(A366),_xlfn.IFS(MONTH(A366)&lt;=3,1,MONTH(A366)&lt;=6,4,MONTH(A366)&lt;=9,7,MONTH(A366)&lt;=12,10),1)</f>
        <v>45566</v>
      </c>
      <c r="F366" s="1">
        <f t="shared" si="32"/>
        <v>45292</v>
      </c>
      <c r="G366">
        <f t="shared" si="33"/>
        <v>12</v>
      </c>
      <c r="H366">
        <f t="shared" si="34"/>
        <v>1</v>
      </c>
      <c r="I366">
        <f t="shared" si="35"/>
        <v>1</v>
      </c>
      <c r="J366" t="str" cm="1">
        <f t="array" ref="J366">_xlfn.IFS(H366&lt;6,"Weekday",H366&gt;5,"Weekend")</f>
        <v>Weekday</v>
      </c>
    </row>
    <row r="367" spans="1:10" x14ac:dyDescent="0.25">
      <c r="A367" s="1">
        <v>45657</v>
      </c>
      <c r="B367" s="1" t="str" cm="1">
        <f t="array" ref="B367">_xlfn.IFS(H367=1,"Monday",H367=2,"Tuesday",H367=3,"Wednesday",H367=4,"Thursday",H367=5,"Friday",H367=6,"Saturday",H367=7,"Sunday")</f>
        <v>Tuesday</v>
      </c>
      <c r="C367" s="1">
        <f t="shared" si="30"/>
        <v>45656</v>
      </c>
      <c r="D367" s="1">
        <f t="shared" si="31"/>
        <v>45627</v>
      </c>
      <c r="E367" s="1" cm="1">
        <f t="array" ref="E367">DATE(YEAR(A367),_xlfn.IFS(MONTH(A367)&lt;=3,1,MONTH(A367)&lt;=6,4,MONTH(A367)&lt;=9,7,MONTH(A367)&lt;=12,10),1)</f>
        <v>45566</v>
      </c>
      <c r="F367" s="1">
        <f t="shared" si="32"/>
        <v>45292</v>
      </c>
      <c r="G367">
        <f t="shared" si="33"/>
        <v>12</v>
      </c>
      <c r="H367">
        <f t="shared" si="34"/>
        <v>2</v>
      </c>
      <c r="I367">
        <f t="shared" si="35"/>
        <v>1</v>
      </c>
      <c r="J367" t="str" cm="1">
        <f t="array" ref="J367">_xlfn.IFS(H367&lt;6,"Weekday",H367&gt;5,"Weekend")</f>
        <v>Weekday</v>
      </c>
    </row>
    <row r="368" spans="1:10" x14ac:dyDescent="0.25">
      <c r="A368" s="1">
        <v>45658</v>
      </c>
      <c r="B368" s="1" t="str" cm="1">
        <f t="array" ref="B368">_xlfn.IFS(H368=1,"Monday",H368=2,"Tuesday",H368=3,"Wednesday",H368=4,"Thursday",H368=5,"Friday",H368=6,"Saturday",H368=7,"Sunday")</f>
        <v>Wednesday</v>
      </c>
      <c r="C368" s="1">
        <f t="shared" si="30"/>
        <v>45656</v>
      </c>
      <c r="D368" s="1">
        <f t="shared" si="31"/>
        <v>45658</v>
      </c>
      <c r="E368" s="1" cm="1">
        <f t="array" ref="E368">DATE(YEAR(A368),_xlfn.IFS(MONTH(A368)&lt;=3,1,MONTH(A368)&lt;=6,4,MONTH(A368)&lt;=9,7,MONTH(A368)&lt;=12,10),1)</f>
        <v>45658</v>
      </c>
      <c r="F368" s="1">
        <f t="shared" si="32"/>
        <v>45658</v>
      </c>
      <c r="G368">
        <f t="shared" si="33"/>
        <v>1</v>
      </c>
      <c r="H368">
        <f t="shared" si="34"/>
        <v>3</v>
      </c>
      <c r="I368">
        <f t="shared" si="35"/>
        <v>1</v>
      </c>
      <c r="J368" t="str" cm="1">
        <f t="array" ref="J368">_xlfn.IFS(H368&lt;6,"Weekday",H368&gt;5,"Weekend")</f>
        <v>Weekday</v>
      </c>
    </row>
    <row r="369" spans="1:10" x14ac:dyDescent="0.25">
      <c r="A369" s="1">
        <v>45659</v>
      </c>
      <c r="B369" s="1" t="str" cm="1">
        <f t="array" ref="B369">_xlfn.IFS(H369=1,"Monday",H369=2,"Tuesday",H369=3,"Wednesday",H369=4,"Thursday",H369=5,"Friday",H369=6,"Saturday",H369=7,"Sunday")</f>
        <v>Thursday</v>
      </c>
      <c r="C369" s="1">
        <f t="shared" si="30"/>
        <v>45656</v>
      </c>
      <c r="D369" s="1">
        <f t="shared" si="31"/>
        <v>45658</v>
      </c>
      <c r="E369" s="1" cm="1">
        <f t="array" ref="E369">DATE(YEAR(A369),_xlfn.IFS(MONTH(A369)&lt;=3,1,MONTH(A369)&lt;=6,4,MONTH(A369)&lt;=9,7,MONTH(A369)&lt;=12,10),1)</f>
        <v>45658</v>
      </c>
      <c r="F369" s="1">
        <f t="shared" si="32"/>
        <v>45658</v>
      </c>
      <c r="G369">
        <f t="shared" si="33"/>
        <v>1</v>
      </c>
      <c r="H369">
        <f t="shared" si="34"/>
        <v>4</v>
      </c>
      <c r="I369">
        <f t="shared" si="35"/>
        <v>1</v>
      </c>
      <c r="J369" t="str" cm="1">
        <f t="array" ref="J369">_xlfn.IFS(H369&lt;6,"Weekday",H369&gt;5,"Weekend")</f>
        <v>Weekday</v>
      </c>
    </row>
    <row r="370" spans="1:10" x14ac:dyDescent="0.25">
      <c r="A370" s="1">
        <v>45660</v>
      </c>
      <c r="B370" s="1" t="str" cm="1">
        <f t="array" ref="B370">_xlfn.IFS(H370=1,"Monday",H370=2,"Tuesday",H370=3,"Wednesday",H370=4,"Thursday",H370=5,"Friday",H370=6,"Saturday",H370=7,"Sunday")</f>
        <v>Friday</v>
      </c>
      <c r="C370" s="1">
        <f t="shared" si="30"/>
        <v>45656</v>
      </c>
      <c r="D370" s="1">
        <f t="shared" si="31"/>
        <v>45658</v>
      </c>
      <c r="E370" s="1" cm="1">
        <f t="array" ref="E370">DATE(YEAR(A370),_xlfn.IFS(MONTH(A370)&lt;=3,1,MONTH(A370)&lt;=6,4,MONTH(A370)&lt;=9,7,MONTH(A370)&lt;=12,10),1)</f>
        <v>45658</v>
      </c>
      <c r="F370" s="1">
        <f t="shared" si="32"/>
        <v>45658</v>
      </c>
      <c r="G370">
        <f t="shared" si="33"/>
        <v>1</v>
      </c>
      <c r="H370">
        <f t="shared" si="34"/>
        <v>5</v>
      </c>
      <c r="I370">
        <f t="shared" si="35"/>
        <v>1</v>
      </c>
      <c r="J370" t="str" cm="1">
        <f t="array" ref="J370">_xlfn.IFS(H370&lt;6,"Weekday",H370&gt;5,"Weekend")</f>
        <v>Weekday</v>
      </c>
    </row>
    <row r="371" spans="1:10" x14ac:dyDescent="0.25">
      <c r="A371" s="1">
        <v>45661</v>
      </c>
      <c r="B371" s="1" t="str" cm="1">
        <f t="array" ref="B371">_xlfn.IFS(H371=1,"Monday",H371=2,"Tuesday",H371=3,"Wednesday",H371=4,"Thursday",H371=5,"Friday",H371=6,"Saturday",H371=7,"Sunday")</f>
        <v>Saturday</v>
      </c>
      <c r="C371" s="1">
        <f t="shared" si="30"/>
        <v>45656</v>
      </c>
      <c r="D371" s="1">
        <f t="shared" si="31"/>
        <v>45658</v>
      </c>
      <c r="E371" s="1" cm="1">
        <f t="array" ref="E371">DATE(YEAR(A371),_xlfn.IFS(MONTH(A371)&lt;=3,1,MONTH(A371)&lt;=6,4,MONTH(A371)&lt;=9,7,MONTH(A371)&lt;=12,10),1)</f>
        <v>45658</v>
      </c>
      <c r="F371" s="1">
        <f t="shared" si="32"/>
        <v>45658</v>
      </c>
      <c r="G371">
        <f t="shared" si="33"/>
        <v>1</v>
      </c>
      <c r="H371">
        <f t="shared" si="34"/>
        <v>6</v>
      </c>
      <c r="I371">
        <f t="shared" si="35"/>
        <v>1</v>
      </c>
      <c r="J371" t="str" cm="1">
        <f t="array" ref="J371">_xlfn.IFS(H371&lt;6,"Weekday",H371&gt;5,"Weekend")</f>
        <v>Weekend</v>
      </c>
    </row>
    <row r="372" spans="1:10" x14ac:dyDescent="0.25">
      <c r="A372" s="1">
        <v>45662</v>
      </c>
      <c r="B372" s="1" t="str" cm="1">
        <f t="array" ref="B372">_xlfn.IFS(H372=1,"Monday",H372=2,"Tuesday",H372=3,"Wednesday",H372=4,"Thursday",H372=5,"Friday",H372=6,"Saturday",H372=7,"Sunday")</f>
        <v>Sunday</v>
      </c>
      <c r="C372" s="1">
        <f t="shared" si="30"/>
        <v>45656</v>
      </c>
      <c r="D372" s="1">
        <f t="shared" si="31"/>
        <v>45658</v>
      </c>
      <c r="E372" s="1" cm="1">
        <f t="array" ref="E372">DATE(YEAR(A372),_xlfn.IFS(MONTH(A372)&lt;=3,1,MONTH(A372)&lt;=6,4,MONTH(A372)&lt;=9,7,MONTH(A372)&lt;=12,10),1)</f>
        <v>45658</v>
      </c>
      <c r="F372" s="1">
        <f t="shared" si="32"/>
        <v>45658</v>
      </c>
      <c r="G372">
        <f t="shared" si="33"/>
        <v>1</v>
      </c>
      <c r="H372">
        <f t="shared" si="34"/>
        <v>7</v>
      </c>
      <c r="I372">
        <f t="shared" si="35"/>
        <v>1</v>
      </c>
      <c r="J372" t="str" cm="1">
        <f t="array" ref="J372">_xlfn.IFS(H372&lt;6,"Weekday",H372&gt;5,"Weekend")</f>
        <v>Weekend</v>
      </c>
    </row>
    <row r="373" spans="1:10" x14ac:dyDescent="0.25">
      <c r="A373" s="1">
        <v>45663</v>
      </c>
      <c r="B373" s="1" t="str" cm="1">
        <f t="array" ref="B373">_xlfn.IFS(H373=1,"Monday",H373=2,"Tuesday",H373=3,"Wednesday",H373=4,"Thursday",H373=5,"Friday",H373=6,"Saturday",H373=7,"Sunday")</f>
        <v>Monday</v>
      </c>
      <c r="C373" s="1">
        <f t="shared" si="30"/>
        <v>45663</v>
      </c>
      <c r="D373" s="1">
        <f t="shared" si="31"/>
        <v>45658</v>
      </c>
      <c r="E373" s="1" cm="1">
        <f t="array" ref="E373">DATE(YEAR(A373),_xlfn.IFS(MONTH(A373)&lt;=3,1,MONTH(A373)&lt;=6,4,MONTH(A373)&lt;=9,7,MONTH(A373)&lt;=12,10),1)</f>
        <v>45658</v>
      </c>
      <c r="F373" s="1">
        <f t="shared" si="32"/>
        <v>45658</v>
      </c>
      <c r="G373">
        <f t="shared" si="33"/>
        <v>1</v>
      </c>
      <c r="H373">
        <f t="shared" si="34"/>
        <v>1</v>
      </c>
      <c r="I373">
        <f t="shared" si="35"/>
        <v>2</v>
      </c>
      <c r="J373" t="str" cm="1">
        <f t="array" ref="J373">_xlfn.IFS(H373&lt;6,"Weekday",H373&gt;5,"Weekend")</f>
        <v>Weekday</v>
      </c>
    </row>
    <row r="374" spans="1:10" x14ac:dyDescent="0.25">
      <c r="A374" s="1">
        <v>45664</v>
      </c>
      <c r="B374" s="1" t="str" cm="1">
        <f t="array" ref="B374">_xlfn.IFS(H374=1,"Monday",H374=2,"Tuesday",H374=3,"Wednesday",H374=4,"Thursday",H374=5,"Friday",H374=6,"Saturday",H374=7,"Sunday")</f>
        <v>Tuesday</v>
      </c>
      <c r="C374" s="1">
        <f t="shared" si="30"/>
        <v>45663</v>
      </c>
      <c r="D374" s="1">
        <f t="shared" si="31"/>
        <v>45658</v>
      </c>
      <c r="E374" s="1" cm="1">
        <f t="array" ref="E374">DATE(YEAR(A374),_xlfn.IFS(MONTH(A374)&lt;=3,1,MONTH(A374)&lt;=6,4,MONTH(A374)&lt;=9,7,MONTH(A374)&lt;=12,10),1)</f>
        <v>45658</v>
      </c>
      <c r="F374" s="1">
        <f t="shared" si="32"/>
        <v>45658</v>
      </c>
      <c r="G374">
        <f t="shared" si="33"/>
        <v>1</v>
      </c>
      <c r="H374">
        <f t="shared" si="34"/>
        <v>2</v>
      </c>
      <c r="I374">
        <f t="shared" si="35"/>
        <v>2</v>
      </c>
      <c r="J374" t="str" cm="1">
        <f t="array" ref="J374">_xlfn.IFS(H374&lt;6,"Weekday",H374&gt;5,"Weekend")</f>
        <v>Weekday</v>
      </c>
    </row>
    <row r="375" spans="1:10" x14ac:dyDescent="0.25">
      <c r="A375" s="1">
        <v>45665</v>
      </c>
      <c r="B375" s="1" t="str" cm="1">
        <f t="array" ref="B375">_xlfn.IFS(H375=1,"Monday",H375=2,"Tuesday",H375=3,"Wednesday",H375=4,"Thursday",H375=5,"Friday",H375=6,"Saturday",H375=7,"Sunday")</f>
        <v>Wednesday</v>
      </c>
      <c r="C375" s="1">
        <f t="shared" si="30"/>
        <v>45663</v>
      </c>
      <c r="D375" s="1">
        <f t="shared" si="31"/>
        <v>45658</v>
      </c>
      <c r="E375" s="1" cm="1">
        <f t="array" ref="E375">DATE(YEAR(A375),_xlfn.IFS(MONTH(A375)&lt;=3,1,MONTH(A375)&lt;=6,4,MONTH(A375)&lt;=9,7,MONTH(A375)&lt;=12,10),1)</f>
        <v>45658</v>
      </c>
      <c r="F375" s="1">
        <f t="shared" si="32"/>
        <v>45658</v>
      </c>
      <c r="G375">
        <f t="shared" si="33"/>
        <v>1</v>
      </c>
      <c r="H375">
        <f t="shared" si="34"/>
        <v>3</v>
      </c>
      <c r="I375">
        <f t="shared" si="35"/>
        <v>2</v>
      </c>
      <c r="J375" t="str" cm="1">
        <f t="array" ref="J375">_xlfn.IFS(H375&lt;6,"Weekday",H375&gt;5,"Weekend")</f>
        <v>Weekday</v>
      </c>
    </row>
    <row r="376" spans="1:10" x14ac:dyDescent="0.25">
      <c r="A376" s="1">
        <v>45666</v>
      </c>
      <c r="B376" s="1" t="str" cm="1">
        <f t="array" ref="B376">_xlfn.IFS(H376=1,"Monday",H376=2,"Tuesday",H376=3,"Wednesday",H376=4,"Thursday",H376=5,"Friday",H376=6,"Saturday",H376=7,"Sunday")</f>
        <v>Thursday</v>
      </c>
      <c r="C376" s="1">
        <f t="shared" si="30"/>
        <v>45663</v>
      </c>
      <c r="D376" s="1">
        <f t="shared" si="31"/>
        <v>45658</v>
      </c>
      <c r="E376" s="1" cm="1">
        <f t="array" ref="E376">DATE(YEAR(A376),_xlfn.IFS(MONTH(A376)&lt;=3,1,MONTH(A376)&lt;=6,4,MONTH(A376)&lt;=9,7,MONTH(A376)&lt;=12,10),1)</f>
        <v>45658</v>
      </c>
      <c r="F376" s="1">
        <f t="shared" si="32"/>
        <v>45658</v>
      </c>
      <c r="G376">
        <f t="shared" si="33"/>
        <v>1</v>
      </c>
      <c r="H376">
        <f t="shared" si="34"/>
        <v>4</v>
      </c>
      <c r="I376">
        <f t="shared" si="35"/>
        <v>2</v>
      </c>
      <c r="J376" t="str" cm="1">
        <f t="array" ref="J376">_xlfn.IFS(H376&lt;6,"Weekday",H376&gt;5,"Weekend")</f>
        <v>Weekday</v>
      </c>
    </row>
    <row r="377" spans="1:10" x14ac:dyDescent="0.25">
      <c r="A377" s="1">
        <v>45667</v>
      </c>
      <c r="B377" s="1" t="str" cm="1">
        <f t="array" ref="B377">_xlfn.IFS(H377=1,"Monday",H377=2,"Tuesday",H377=3,"Wednesday",H377=4,"Thursday",H377=5,"Friday",H377=6,"Saturday",H377=7,"Sunday")</f>
        <v>Friday</v>
      </c>
      <c r="C377" s="1">
        <f t="shared" si="30"/>
        <v>45663</v>
      </c>
      <c r="D377" s="1">
        <f t="shared" si="31"/>
        <v>45658</v>
      </c>
      <c r="E377" s="1" cm="1">
        <f t="array" ref="E377">DATE(YEAR(A377),_xlfn.IFS(MONTH(A377)&lt;=3,1,MONTH(A377)&lt;=6,4,MONTH(A377)&lt;=9,7,MONTH(A377)&lt;=12,10),1)</f>
        <v>45658</v>
      </c>
      <c r="F377" s="1">
        <f t="shared" si="32"/>
        <v>45658</v>
      </c>
      <c r="G377">
        <f t="shared" si="33"/>
        <v>1</v>
      </c>
      <c r="H377">
        <f t="shared" si="34"/>
        <v>5</v>
      </c>
      <c r="I377">
        <f t="shared" si="35"/>
        <v>2</v>
      </c>
      <c r="J377" t="str" cm="1">
        <f t="array" ref="J377">_xlfn.IFS(H377&lt;6,"Weekday",H377&gt;5,"Weekend")</f>
        <v>Weekday</v>
      </c>
    </row>
    <row r="378" spans="1:10" x14ac:dyDescent="0.25">
      <c r="A378" s="1">
        <v>45668</v>
      </c>
      <c r="B378" s="1" t="str" cm="1">
        <f t="array" ref="B378">_xlfn.IFS(H378=1,"Monday",H378=2,"Tuesday",H378=3,"Wednesday",H378=4,"Thursday",H378=5,"Friday",H378=6,"Saturday",H378=7,"Sunday")</f>
        <v>Saturday</v>
      </c>
      <c r="C378" s="1">
        <f t="shared" si="30"/>
        <v>45663</v>
      </c>
      <c r="D378" s="1">
        <f t="shared" si="31"/>
        <v>45658</v>
      </c>
      <c r="E378" s="1" cm="1">
        <f t="array" ref="E378">DATE(YEAR(A378),_xlfn.IFS(MONTH(A378)&lt;=3,1,MONTH(A378)&lt;=6,4,MONTH(A378)&lt;=9,7,MONTH(A378)&lt;=12,10),1)</f>
        <v>45658</v>
      </c>
      <c r="F378" s="1">
        <f t="shared" si="32"/>
        <v>45658</v>
      </c>
      <c r="G378">
        <f t="shared" si="33"/>
        <v>1</v>
      </c>
      <c r="H378">
        <f t="shared" si="34"/>
        <v>6</v>
      </c>
      <c r="I378">
        <f t="shared" si="35"/>
        <v>2</v>
      </c>
      <c r="J378" t="str" cm="1">
        <f t="array" ref="J378">_xlfn.IFS(H378&lt;6,"Weekday",H378&gt;5,"Weekend")</f>
        <v>Weekend</v>
      </c>
    </row>
    <row r="379" spans="1:10" x14ac:dyDescent="0.25">
      <c r="A379" s="1">
        <v>45669</v>
      </c>
      <c r="B379" s="1" t="str" cm="1">
        <f t="array" ref="B379">_xlfn.IFS(H379=1,"Monday",H379=2,"Tuesday",H379=3,"Wednesday",H379=4,"Thursday",H379=5,"Friday",H379=6,"Saturday",H379=7,"Sunday")</f>
        <v>Sunday</v>
      </c>
      <c r="C379" s="1">
        <f t="shared" si="30"/>
        <v>45663</v>
      </c>
      <c r="D379" s="1">
        <f t="shared" si="31"/>
        <v>45658</v>
      </c>
      <c r="E379" s="1" cm="1">
        <f t="array" ref="E379">DATE(YEAR(A379),_xlfn.IFS(MONTH(A379)&lt;=3,1,MONTH(A379)&lt;=6,4,MONTH(A379)&lt;=9,7,MONTH(A379)&lt;=12,10),1)</f>
        <v>45658</v>
      </c>
      <c r="F379" s="1">
        <f t="shared" si="32"/>
        <v>45658</v>
      </c>
      <c r="G379">
        <f t="shared" si="33"/>
        <v>1</v>
      </c>
      <c r="H379">
        <f t="shared" si="34"/>
        <v>7</v>
      </c>
      <c r="I379">
        <f t="shared" si="35"/>
        <v>2</v>
      </c>
      <c r="J379" t="str" cm="1">
        <f t="array" ref="J379">_xlfn.IFS(H379&lt;6,"Weekday",H379&gt;5,"Weekend")</f>
        <v>Weekend</v>
      </c>
    </row>
    <row r="380" spans="1:10" x14ac:dyDescent="0.25">
      <c r="A380" s="1">
        <v>45670</v>
      </c>
      <c r="B380" s="1" t="str" cm="1">
        <f t="array" ref="B380">_xlfn.IFS(H380=1,"Monday",H380=2,"Tuesday",H380=3,"Wednesday",H380=4,"Thursday",H380=5,"Friday",H380=6,"Saturday",H380=7,"Sunday")</f>
        <v>Monday</v>
      </c>
      <c r="C380" s="1">
        <f t="shared" si="30"/>
        <v>45670</v>
      </c>
      <c r="D380" s="1">
        <f t="shared" si="31"/>
        <v>45658</v>
      </c>
      <c r="E380" s="1" cm="1">
        <f t="array" ref="E380">DATE(YEAR(A380),_xlfn.IFS(MONTH(A380)&lt;=3,1,MONTH(A380)&lt;=6,4,MONTH(A380)&lt;=9,7,MONTH(A380)&lt;=12,10),1)</f>
        <v>45658</v>
      </c>
      <c r="F380" s="1">
        <f t="shared" si="32"/>
        <v>45658</v>
      </c>
      <c r="G380">
        <f t="shared" si="33"/>
        <v>1</v>
      </c>
      <c r="H380">
        <f t="shared" si="34"/>
        <v>1</v>
      </c>
      <c r="I380">
        <f t="shared" si="35"/>
        <v>3</v>
      </c>
      <c r="J380" t="str" cm="1">
        <f t="array" ref="J380">_xlfn.IFS(H380&lt;6,"Weekday",H380&gt;5,"Weekend")</f>
        <v>Weekday</v>
      </c>
    </row>
    <row r="381" spans="1:10" x14ac:dyDescent="0.25">
      <c r="A381" s="1">
        <v>45671</v>
      </c>
      <c r="B381" s="1" t="str" cm="1">
        <f t="array" ref="B381">_xlfn.IFS(H381=1,"Monday",H381=2,"Tuesday",H381=3,"Wednesday",H381=4,"Thursday",H381=5,"Friday",H381=6,"Saturday",H381=7,"Sunday")</f>
        <v>Tuesday</v>
      </c>
      <c r="C381" s="1">
        <f t="shared" si="30"/>
        <v>45670</v>
      </c>
      <c r="D381" s="1">
        <f t="shared" si="31"/>
        <v>45658</v>
      </c>
      <c r="E381" s="1" cm="1">
        <f t="array" ref="E381">DATE(YEAR(A381),_xlfn.IFS(MONTH(A381)&lt;=3,1,MONTH(A381)&lt;=6,4,MONTH(A381)&lt;=9,7,MONTH(A381)&lt;=12,10),1)</f>
        <v>45658</v>
      </c>
      <c r="F381" s="1">
        <f t="shared" si="32"/>
        <v>45658</v>
      </c>
      <c r="G381">
        <f t="shared" si="33"/>
        <v>1</v>
      </c>
      <c r="H381">
        <f t="shared" si="34"/>
        <v>2</v>
      </c>
      <c r="I381">
        <f t="shared" si="35"/>
        <v>3</v>
      </c>
      <c r="J381" t="str" cm="1">
        <f t="array" ref="J381">_xlfn.IFS(H381&lt;6,"Weekday",H381&gt;5,"Weekend")</f>
        <v>Weekday</v>
      </c>
    </row>
    <row r="382" spans="1:10" x14ac:dyDescent="0.25">
      <c r="A382" s="1">
        <v>45672</v>
      </c>
      <c r="B382" s="1" t="str" cm="1">
        <f t="array" ref="B382">_xlfn.IFS(H382=1,"Monday",H382=2,"Tuesday",H382=3,"Wednesday",H382=4,"Thursday",H382=5,"Friday",H382=6,"Saturday",H382=7,"Sunday")</f>
        <v>Wednesday</v>
      </c>
      <c r="C382" s="1">
        <f t="shared" si="30"/>
        <v>45670</v>
      </c>
      <c r="D382" s="1">
        <f t="shared" si="31"/>
        <v>45658</v>
      </c>
      <c r="E382" s="1" cm="1">
        <f t="array" ref="E382">DATE(YEAR(A382),_xlfn.IFS(MONTH(A382)&lt;=3,1,MONTH(A382)&lt;=6,4,MONTH(A382)&lt;=9,7,MONTH(A382)&lt;=12,10),1)</f>
        <v>45658</v>
      </c>
      <c r="F382" s="1">
        <f t="shared" si="32"/>
        <v>45658</v>
      </c>
      <c r="G382">
        <f t="shared" si="33"/>
        <v>1</v>
      </c>
      <c r="H382">
        <f t="shared" si="34"/>
        <v>3</v>
      </c>
      <c r="I382">
        <f t="shared" si="35"/>
        <v>3</v>
      </c>
      <c r="J382" t="str" cm="1">
        <f t="array" ref="J382">_xlfn.IFS(H382&lt;6,"Weekday",H382&gt;5,"Weekend")</f>
        <v>Weekday</v>
      </c>
    </row>
    <row r="383" spans="1:10" x14ac:dyDescent="0.25">
      <c r="A383" s="1">
        <v>45673</v>
      </c>
      <c r="B383" s="1" t="str" cm="1">
        <f t="array" ref="B383">_xlfn.IFS(H383=1,"Monday",H383=2,"Tuesday",H383=3,"Wednesday",H383=4,"Thursday",H383=5,"Friday",H383=6,"Saturday",H383=7,"Sunday")</f>
        <v>Thursday</v>
      </c>
      <c r="C383" s="1">
        <f t="shared" si="30"/>
        <v>45670</v>
      </c>
      <c r="D383" s="1">
        <f t="shared" si="31"/>
        <v>45658</v>
      </c>
      <c r="E383" s="1" cm="1">
        <f t="array" ref="E383">DATE(YEAR(A383),_xlfn.IFS(MONTH(A383)&lt;=3,1,MONTH(A383)&lt;=6,4,MONTH(A383)&lt;=9,7,MONTH(A383)&lt;=12,10),1)</f>
        <v>45658</v>
      </c>
      <c r="F383" s="1">
        <f t="shared" si="32"/>
        <v>45658</v>
      </c>
      <c r="G383">
        <f t="shared" si="33"/>
        <v>1</v>
      </c>
      <c r="H383">
        <f t="shared" si="34"/>
        <v>4</v>
      </c>
      <c r="I383">
        <f t="shared" si="35"/>
        <v>3</v>
      </c>
      <c r="J383" t="str" cm="1">
        <f t="array" ref="J383">_xlfn.IFS(H383&lt;6,"Weekday",H383&gt;5,"Weekend")</f>
        <v>Weekday</v>
      </c>
    </row>
    <row r="384" spans="1:10" x14ac:dyDescent="0.25">
      <c r="A384" s="1">
        <v>45674</v>
      </c>
      <c r="B384" s="1" t="str" cm="1">
        <f t="array" ref="B384">_xlfn.IFS(H384=1,"Monday",H384=2,"Tuesday",H384=3,"Wednesday",H384=4,"Thursday",H384=5,"Friday",H384=6,"Saturday",H384=7,"Sunday")</f>
        <v>Friday</v>
      </c>
      <c r="C384" s="1">
        <f t="shared" si="30"/>
        <v>45670</v>
      </c>
      <c r="D384" s="1">
        <f t="shared" si="31"/>
        <v>45658</v>
      </c>
      <c r="E384" s="1" cm="1">
        <f t="array" ref="E384">DATE(YEAR(A384),_xlfn.IFS(MONTH(A384)&lt;=3,1,MONTH(A384)&lt;=6,4,MONTH(A384)&lt;=9,7,MONTH(A384)&lt;=12,10),1)</f>
        <v>45658</v>
      </c>
      <c r="F384" s="1">
        <f t="shared" si="32"/>
        <v>45658</v>
      </c>
      <c r="G384">
        <f t="shared" si="33"/>
        <v>1</v>
      </c>
      <c r="H384">
        <f t="shared" si="34"/>
        <v>5</v>
      </c>
      <c r="I384">
        <f t="shared" si="35"/>
        <v>3</v>
      </c>
      <c r="J384" t="str" cm="1">
        <f t="array" ref="J384">_xlfn.IFS(H384&lt;6,"Weekday",H384&gt;5,"Weekend")</f>
        <v>Weekday</v>
      </c>
    </row>
    <row r="385" spans="1:10" x14ac:dyDescent="0.25">
      <c r="A385" s="1">
        <v>45675</v>
      </c>
      <c r="B385" s="1" t="str" cm="1">
        <f t="array" ref="B385">_xlfn.IFS(H385=1,"Monday",H385=2,"Tuesday",H385=3,"Wednesday",H385=4,"Thursday",H385=5,"Friday",H385=6,"Saturday",H385=7,"Sunday")</f>
        <v>Saturday</v>
      </c>
      <c r="C385" s="1">
        <f t="shared" si="30"/>
        <v>45670</v>
      </c>
      <c r="D385" s="1">
        <f t="shared" si="31"/>
        <v>45658</v>
      </c>
      <c r="E385" s="1" cm="1">
        <f t="array" ref="E385">DATE(YEAR(A385),_xlfn.IFS(MONTH(A385)&lt;=3,1,MONTH(A385)&lt;=6,4,MONTH(A385)&lt;=9,7,MONTH(A385)&lt;=12,10),1)</f>
        <v>45658</v>
      </c>
      <c r="F385" s="1">
        <f t="shared" si="32"/>
        <v>45658</v>
      </c>
      <c r="G385">
        <f t="shared" si="33"/>
        <v>1</v>
      </c>
      <c r="H385">
        <f t="shared" si="34"/>
        <v>6</v>
      </c>
      <c r="I385">
        <f t="shared" si="35"/>
        <v>3</v>
      </c>
      <c r="J385" t="str" cm="1">
        <f t="array" ref="J385">_xlfn.IFS(H385&lt;6,"Weekday",H385&gt;5,"Weekend")</f>
        <v>Weekend</v>
      </c>
    </row>
    <row r="386" spans="1:10" x14ac:dyDescent="0.25">
      <c r="A386" s="1">
        <v>45676</v>
      </c>
      <c r="B386" s="1" t="str" cm="1">
        <f t="array" ref="B386">_xlfn.IFS(H386=1,"Monday",H386=2,"Tuesday",H386=3,"Wednesday",H386=4,"Thursday",H386=5,"Friday",H386=6,"Saturday",H386=7,"Sunday")</f>
        <v>Sunday</v>
      </c>
      <c r="C386" s="1">
        <f t="shared" ref="C386:C449" si="36">A386-WEEKDAY(A386,2)+1</f>
        <v>45670</v>
      </c>
      <c r="D386" s="1">
        <f t="shared" ref="D386:D449" si="37">DATE(YEAR(A386),MONTH(A386),1)</f>
        <v>45658</v>
      </c>
      <c r="E386" s="1" cm="1">
        <f t="array" ref="E386">DATE(YEAR(A386),_xlfn.IFS(MONTH(A386)&lt;=3,1,MONTH(A386)&lt;=6,4,MONTH(A386)&lt;=9,7,MONTH(A386)&lt;=12,10),1)</f>
        <v>45658</v>
      </c>
      <c r="F386" s="1">
        <f t="shared" ref="F386:F449" si="38">DATE(YEAR(A386),1,1)</f>
        <v>45658</v>
      </c>
      <c r="G386">
        <f t="shared" ref="G386:G449" si="39">MONTH(A386)</f>
        <v>1</v>
      </c>
      <c r="H386">
        <f t="shared" ref="H386:H449" si="40">WEEKDAY(A386,2)</f>
        <v>7</v>
      </c>
      <c r="I386">
        <f t="shared" ref="I386:I449" si="41">_xlfn.ISOWEEKNUM(A386)</f>
        <v>3</v>
      </c>
      <c r="J386" t="str" cm="1">
        <f t="array" ref="J386">_xlfn.IFS(H386&lt;6,"Weekday",H386&gt;5,"Weekend")</f>
        <v>Weekend</v>
      </c>
    </row>
    <row r="387" spans="1:10" x14ac:dyDescent="0.25">
      <c r="A387" s="1">
        <v>45677</v>
      </c>
      <c r="B387" s="1" t="str" cm="1">
        <f t="array" ref="B387">_xlfn.IFS(H387=1,"Monday",H387=2,"Tuesday",H387=3,"Wednesday",H387=4,"Thursday",H387=5,"Friday",H387=6,"Saturday",H387=7,"Sunday")</f>
        <v>Monday</v>
      </c>
      <c r="C387" s="1">
        <f t="shared" si="36"/>
        <v>45677</v>
      </c>
      <c r="D387" s="1">
        <f t="shared" si="37"/>
        <v>45658</v>
      </c>
      <c r="E387" s="1" cm="1">
        <f t="array" ref="E387">DATE(YEAR(A387),_xlfn.IFS(MONTH(A387)&lt;=3,1,MONTH(A387)&lt;=6,4,MONTH(A387)&lt;=9,7,MONTH(A387)&lt;=12,10),1)</f>
        <v>45658</v>
      </c>
      <c r="F387" s="1">
        <f t="shared" si="38"/>
        <v>45658</v>
      </c>
      <c r="G387">
        <f t="shared" si="39"/>
        <v>1</v>
      </c>
      <c r="H387">
        <f t="shared" si="40"/>
        <v>1</v>
      </c>
      <c r="I387">
        <f t="shared" si="41"/>
        <v>4</v>
      </c>
      <c r="J387" t="str" cm="1">
        <f t="array" ref="J387">_xlfn.IFS(H387&lt;6,"Weekday",H387&gt;5,"Weekend")</f>
        <v>Weekday</v>
      </c>
    </row>
    <row r="388" spans="1:10" x14ac:dyDescent="0.25">
      <c r="A388" s="1">
        <v>45678</v>
      </c>
      <c r="B388" s="1" t="str" cm="1">
        <f t="array" ref="B388">_xlfn.IFS(H388=1,"Monday",H388=2,"Tuesday",H388=3,"Wednesday",H388=4,"Thursday",H388=5,"Friday",H388=6,"Saturday",H388=7,"Sunday")</f>
        <v>Tuesday</v>
      </c>
      <c r="C388" s="1">
        <f t="shared" si="36"/>
        <v>45677</v>
      </c>
      <c r="D388" s="1">
        <f t="shared" si="37"/>
        <v>45658</v>
      </c>
      <c r="E388" s="1" cm="1">
        <f t="array" ref="E388">DATE(YEAR(A388),_xlfn.IFS(MONTH(A388)&lt;=3,1,MONTH(A388)&lt;=6,4,MONTH(A388)&lt;=9,7,MONTH(A388)&lt;=12,10),1)</f>
        <v>45658</v>
      </c>
      <c r="F388" s="1">
        <f t="shared" si="38"/>
        <v>45658</v>
      </c>
      <c r="G388">
        <f t="shared" si="39"/>
        <v>1</v>
      </c>
      <c r="H388">
        <f t="shared" si="40"/>
        <v>2</v>
      </c>
      <c r="I388">
        <f t="shared" si="41"/>
        <v>4</v>
      </c>
      <c r="J388" t="str" cm="1">
        <f t="array" ref="J388">_xlfn.IFS(H388&lt;6,"Weekday",H388&gt;5,"Weekend")</f>
        <v>Weekday</v>
      </c>
    </row>
    <row r="389" spans="1:10" x14ac:dyDescent="0.25">
      <c r="A389" s="1">
        <v>45679</v>
      </c>
      <c r="B389" s="1" t="str" cm="1">
        <f t="array" ref="B389">_xlfn.IFS(H389=1,"Monday",H389=2,"Tuesday",H389=3,"Wednesday",H389=4,"Thursday",H389=5,"Friday",H389=6,"Saturday",H389=7,"Sunday")</f>
        <v>Wednesday</v>
      </c>
      <c r="C389" s="1">
        <f t="shared" si="36"/>
        <v>45677</v>
      </c>
      <c r="D389" s="1">
        <f t="shared" si="37"/>
        <v>45658</v>
      </c>
      <c r="E389" s="1" cm="1">
        <f t="array" ref="E389">DATE(YEAR(A389),_xlfn.IFS(MONTH(A389)&lt;=3,1,MONTH(A389)&lt;=6,4,MONTH(A389)&lt;=9,7,MONTH(A389)&lt;=12,10),1)</f>
        <v>45658</v>
      </c>
      <c r="F389" s="1">
        <f t="shared" si="38"/>
        <v>45658</v>
      </c>
      <c r="G389">
        <f t="shared" si="39"/>
        <v>1</v>
      </c>
      <c r="H389">
        <f t="shared" si="40"/>
        <v>3</v>
      </c>
      <c r="I389">
        <f t="shared" si="41"/>
        <v>4</v>
      </c>
      <c r="J389" t="str" cm="1">
        <f t="array" ref="J389">_xlfn.IFS(H389&lt;6,"Weekday",H389&gt;5,"Weekend")</f>
        <v>Weekday</v>
      </c>
    </row>
    <row r="390" spans="1:10" x14ac:dyDescent="0.25">
      <c r="A390" s="1">
        <v>45680</v>
      </c>
      <c r="B390" s="1" t="str" cm="1">
        <f t="array" ref="B390">_xlfn.IFS(H390=1,"Monday",H390=2,"Tuesday",H390=3,"Wednesday",H390=4,"Thursday",H390=5,"Friday",H390=6,"Saturday",H390=7,"Sunday")</f>
        <v>Thursday</v>
      </c>
      <c r="C390" s="1">
        <f t="shared" si="36"/>
        <v>45677</v>
      </c>
      <c r="D390" s="1">
        <f t="shared" si="37"/>
        <v>45658</v>
      </c>
      <c r="E390" s="1" cm="1">
        <f t="array" ref="E390">DATE(YEAR(A390),_xlfn.IFS(MONTH(A390)&lt;=3,1,MONTH(A390)&lt;=6,4,MONTH(A390)&lt;=9,7,MONTH(A390)&lt;=12,10),1)</f>
        <v>45658</v>
      </c>
      <c r="F390" s="1">
        <f t="shared" si="38"/>
        <v>45658</v>
      </c>
      <c r="G390">
        <f t="shared" si="39"/>
        <v>1</v>
      </c>
      <c r="H390">
        <f t="shared" si="40"/>
        <v>4</v>
      </c>
      <c r="I390">
        <f t="shared" si="41"/>
        <v>4</v>
      </c>
      <c r="J390" t="str" cm="1">
        <f t="array" ref="J390">_xlfn.IFS(H390&lt;6,"Weekday",H390&gt;5,"Weekend")</f>
        <v>Weekday</v>
      </c>
    </row>
    <row r="391" spans="1:10" x14ac:dyDescent="0.25">
      <c r="A391" s="1">
        <v>45681</v>
      </c>
      <c r="B391" s="1" t="str" cm="1">
        <f t="array" ref="B391">_xlfn.IFS(H391=1,"Monday",H391=2,"Tuesday",H391=3,"Wednesday",H391=4,"Thursday",H391=5,"Friday",H391=6,"Saturday",H391=7,"Sunday")</f>
        <v>Friday</v>
      </c>
      <c r="C391" s="1">
        <f t="shared" si="36"/>
        <v>45677</v>
      </c>
      <c r="D391" s="1">
        <f t="shared" si="37"/>
        <v>45658</v>
      </c>
      <c r="E391" s="1" cm="1">
        <f t="array" ref="E391">DATE(YEAR(A391),_xlfn.IFS(MONTH(A391)&lt;=3,1,MONTH(A391)&lt;=6,4,MONTH(A391)&lt;=9,7,MONTH(A391)&lt;=12,10),1)</f>
        <v>45658</v>
      </c>
      <c r="F391" s="1">
        <f t="shared" si="38"/>
        <v>45658</v>
      </c>
      <c r="G391">
        <f t="shared" si="39"/>
        <v>1</v>
      </c>
      <c r="H391">
        <f t="shared" si="40"/>
        <v>5</v>
      </c>
      <c r="I391">
        <f t="shared" si="41"/>
        <v>4</v>
      </c>
      <c r="J391" t="str" cm="1">
        <f t="array" ref="J391">_xlfn.IFS(H391&lt;6,"Weekday",H391&gt;5,"Weekend")</f>
        <v>Weekday</v>
      </c>
    </row>
    <row r="392" spans="1:10" x14ac:dyDescent="0.25">
      <c r="A392" s="1">
        <v>45682</v>
      </c>
      <c r="B392" s="1" t="str" cm="1">
        <f t="array" ref="B392">_xlfn.IFS(H392=1,"Monday",H392=2,"Tuesday",H392=3,"Wednesday",H392=4,"Thursday",H392=5,"Friday",H392=6,"Saturday",H392=7,"Sunday")</f>
        <v>Saturday</v>
      </c>
      <c r="C392" s="1">
        <f t="shared" si="36"/>
        <v>45677</v>
      </c>
      <c r="D392" s="1">
        <f t="shared" si="37"/>
        <v>45658</v>
      </c>
      <c r="E392" s="1" cm="1">
        <f t="array" ref="E392">DATE(YEAR(A392),_xlfn.IFS(MONTH(A392)&lt;=3,1,MONTH(A392)&lt;=6,4,MONTH(A392)&lt;=9,7,MONTH(A392)&lt;=12,10),1)</f>
        <v>45658</v>
      </c>
      <c r="F392" s="1">
        <f t="shared" si="38"/>
        <v>45658</v>
      </c>
      <c r="G392">
        <f t="shared" si="39"/>
        <v>1</v>
      </c>
      <c r="H392">
        <f t="shared" si="40"/>
        <v>6</v>
      </c>
      <c r="I392">
        <f t="shared" si="41"/>
        <v>4</v>
      </c>
      <c r="J392" t="str" cm="1">
        <f t="array" ref="J392">_xlfn.IFS(H392&lt;6,"Weekday",H392&gt;5,"Weekend")</f>
        <v>Weekend</v>
      </c>
    </row>
    <row r="393" spans="1:10" x14ac:dyDescent="0.25">
      <c r="A393" s="1">
        <v>45683</v>
      </c>
      <c r="B393" s="1" t="str" cm="1">
        <f t="array" ref="B393">_xlfn.IFS(H393=1,"Monday",H393=2,"Tuesday",H393=3,"Wednesday",H393=4,"Thursday",H393=5,"Friday",H393=6,"Saturday",H393=7,"Sunday")</f>
        <v>Sunday</v>
      </c>
      <c r="C393" s="1">
        <f t="shared" si="36"/>
        <v>45677</v>
      </c>
      <c r="D393" s="1">
        <f t="shared" si="37"/>
        <v>45658</v>
      </c>
      <c r="E393" s="1" cm="1">
        <f t="array" ref="E393">DATE(YEAR(A393),_xlfn.IFS(MONTH(A393)&lt;=3,1,MONTH(A393)&lt;=6,4,MONTH(A393)&lt;=9,7,MONTH(A393)&lt;=12,10),1)</f>
        <v>45658</v>
      </c>
      <c r="F393" s="1">
        <f t="shared" si="38"/>
        <v>45658</v>
      </c>
      <c r="G393">
        <f t="shared" si="39"/>
        <v>1</v>
      </c>
      <c r="H393">
        <f t="shared" si="40"/>
        <v>7</v>
      </c>
      <c r="I393">
        <f t="shared" si="41"/>
        <v>4</v>
      </c>
      <c r="J393" t="str" cm="1">
        <f t="array" ref="J393">_xlfn.IFS(H393&lt;6,"Weekday",H393&gt;5,"Weekend")</f>
        <v>Weekend</v>
      </c>
    </row>
    <row r="394" spans="1:10" x14ac:dyDescent="0.25">
      <c r="A394" s="1">
        <v>45684</v>
      </c>
      <c r="B394" s="1" t="str" cm="1">
        <f t="array" ref="B394">_xlfn.IFS(H394=1,"Monday",H394=2,"Tuesday",H394=3,"Wednesday",H394=4,"Thursday",H394=5,"Friday",H394=6,"Saturday",H394=7,"Sunday")</f>
        <v>Monday</v>
      </c>
      <c r="C394" s="1">
        <f t="shared" si="36"/>
        <v>45684</v>
      </c>
      <c r="D394" s="1">
        <f t="shared" si="37"/>
        <v>45658</v>
      </c>
      <c r="E394" s="1" cm="1">
        <f t="array" ref="E394">DATE(YEAR(A394),_xlfn.IFS(MONTH(A394)&lt;=3,1,MONTH(A394)&lt;=6,4,MONTH(A394)&lt;=9,7,MONTH(A394)&lt;=12,10),1)</f>
        <v>45658</v>
      </c>
      <c r="F394" s="1">
        <f t="shared" si="38"/>
        <v>45658</v>
      </c>
      <c r="G394">
        <f t="shared" si="39"/>
        <v>1</v>
      </c>
      <c r="H394">
        <f t="shared" si="40"/>
        <v>1</v>
      </c>
      <c r="I394">
        <f t="shared" si="41"/>
        <v>5</v>
      </c>
      <c r="J394" t="str" cm="1">
        <f t="array" ref="J394">_xlfn.IFS(H394&lt;6,"Weekday",H394&gt;5,"Weekend")</f>
        <v>Weekday</v>
      </c>
    </row>
    <row r="395" spans="1:10" x14ac:dyDescent="0.25">
      <c r="A395" s="1">
        <v>45685</v>
      </c>
      <c r="B395" s="1" t="str" cm="1">
        <f t="array" ref="B395">_xlfn.IFS(H395=1,"Monday",H395=2,"Tuesday",H395=3,"Wednesday",H395=4,"Thursday",H395=5,"Friday",H395=6,"Saturday",H395=7,"Sunday")</f>
        <v>Tuesday</v>
      </c>
      <c r="C395" s="1">
        <f t="shared" si="36"/>
        <v>45684</v>
      </c>
      <c r="D395" s="1">
        <f t="shared" si="37"/>
        <v>45658</v>
      </c>
      <c r="E395" s="1" cm="1">
        <f t="array" ref="E395">DATE(YEAR(A395),_xlfn.IFS(MONTH(A395)&lt;=3,1,MONTH(A395)&lt;=6,4,MONTH(A395)&lt;=9,7,MONTH(A395)&lt;=12,10),1)</f>
        <v>45658</v>
      </c>
      <c r="F395" s="1">
        <f t="shared" si="38"/>
        <v>45658</v>
      </c>
      <c r="G395">
        <f t="shared" si="39"/>
        <v>1</v>
      </c>
      <c r="H395">
        <f t="shared" si="40"/>
        <v>2</v>
      </c>
      <c r="I395">
        <f t="shared" si="41"/>
        <v>5</v>
      </c>
      <c r="J395" t="str" cm="1">
        <f t="array" ref="J395">_xlfn.IFS(H395&lt;6,"Weekday",H395&gt;5,"Weekend")</f>
        <v>Weekday</v>
      </c>
    </row>
    <row r="396" spans="1:10" x14ac:dyDescent="0.25">
      <c r="A396" s="1">
        <v>45686</v>
      </c>
      <c r="B396" s="1" t="str" cm="1">
        <f t="array" ref="B396">_xlfn.IFS(H396=1,"Monday",H396=2,"Tuesday",H396=3,"Wednesday",H396=4,"Thursday",H396=5,"Friday",H396=6,"Saturday",H396=7,"Sunday")</f>
        <v>Wednesday</v>
      </c>
      <c r="C396" s="1">
        <f t="shared" si="36"/>
        <v>45684</v>
      </c>
      <c r="D396" s="1">
        <f t="shared" si="37"/>
        <v>45658</v>
      </c>
      <c r="E396" s="1" cm="1">
        <f t="array" ref="E396">DATE(YEAR(A396),_xlfn.IFS(MONTH(A396)&lt;=3,1,MONTH(A396)&lt;=6,4,MONTH(A396)&lt;=9,7,MONTH(A396)&lt;=12,10),1)</f>
        <v>45658</v>
      </c>
      <c r="F396" s="1">
        <f t="shared" si="38"/>
        <v>45658</v>
      </c>
      <c r="G396">
        <f t="shared" si="39"/>
        <v>1</v>
      </c>
      <c r="H396">
        <f t="shared" si="40"/>
        <v>3</v>
      </c>
      <c r="I396">
        <f t="shared" si="41"/>
        <v>5</v>
      </c>
      <c r="J396" t="str" cm="1">
        <f t="array" ref="J396">_xlfn.IFS(H396&lt;6,"Weekday",H396&gt;5,"Weekend")</f>
        <v>Weekday</v>
      </c>
    </row>
    <row r="397" spans="1:10" x14ac:dyDescent="0.25">
      <c r="A397" s="1">
        <v>45687</v>
      </c>
      <c r="B397" s="1" t="str" cm="1">
        <f t="array" ref="B397">_xlfn.IFS(H397=1,"Monday",H397=2,"Tuesday",H397=3,"Wednesday",H397=4,"Thursday",H397=5,"Friday",H397=6,"Saturday",H397=7,"Sunday")</f>
        <v>Thursday</v>
      </c>
      <c r="C397" s="1">
        <f t="shared" si="36"/>
        <v>45684</v>
      </c>
      <c r="D397" s="1">
        <f t="shared" si="37"/>
        <v>45658</v>
      </c>
      <c r="E397" s="1" cm="1">
        <f t="array" ref="E397">DATE(YEAR(A397),_xlfn.IFS(MONTH(A397)&lt;=3,1,MONTH(A397)&lt;=6,4,MONTH(A397)&lt;=9,7,MONTH(A397)&lt;=12,10),1)</f>
        <v>45658</v>
      </c>
      <c r="F397" s="1">
        <f t="shared" si="38"/>
        <v>45658</v>
      </c>
      <c r="G397">
        <f t="shared" si="39"/>
        <v>1</v>
      </c>
      <c r="H397">
        <f t="shared" si="40"/>
        <v>4</v>
      </c>
      <c r="I397">
        <f t="shared" si="41"/>
        <v>5</v>
      </c>
      <c r="J397" t="str" cm="1">
        <f t="array" ref="J397">_xlfn.IFS(H397&lt;6,"Weekday",H397&gt;5,"Weekend")</f>
        <v>Weekday</v>
      </c>
    </row>
    <row r="398" spans="1:10" x14ac:dyDescent="0.25">
      <c r="A398" s="1">
        <v>45688</v>
      </c>
      <c r="B398" s="1" t="str" cm="1">
        <f t="array" ref="B398">_xlfn.IFS(H398=1,"Monday",H398=2,"Tuesday",H398=3,"Wednesday",H398=4,"Thursday",H398=5,"Friday",H398=6,"Saturday",H398=7,"Sunday")</f>
        <v>Friday</v>
      </c>
      <c r="C398" s="1">
        <f t="shared" si="36"/>
        <v>45684</v>
      </c>
      <c r="D398" s="1">
        <f t="shared" si="37"/>
        <v>45658</v>
      </c>
      <c r="E398" s="1" cm="1">
        <f t="array" ref="E398">DATE(YEAR(A398),_xlfn.IFS(MONTH(A398)&lt;=3,1,MONTH(A398)&lt;=6,4,MONTH(A398)&lt;=9,7,MONTH(A398)&lt;=12,10),1)</f>
        <v>45658</v>
      </c>
      <c r="F398" s="1">
        <f t="shared" si="38"/>
        <v>45658</v>
      </c>
      <c r="G398">
        <f t="shared" si="39"/>
        <v>1</v>
      </c>
      <c r="H398">
        <f t="shared" si="40"/>
        <v>5</v>
      </c>
      <c r="I398">
        <f t="shared" si="41"/>
        <v>5</v>
      </c>
      <c r="J398" t="str" cm="1">
        <f t="array" ref="J398">_xlfn.IFS(H398&lt;6,"Weekday",H398&gt;5,"Weekend")</f>
        <v>Weekday</v>
      </c>
    </row>
    <row r="399" spans="1:10" x14ac:dyDescent="0.25">
      <c r="A399" s="1">
        <v>45689</v>
      </c>
      <c r="B399" s="1" t="str" cm="1">
        <f t="array" ref="B399">_xlfn.IFS(H399=1,"Monday",H399=2,"Tuesday",H399=3,"Wednesday",H399=4,"Thursday",H399=5,"Friday",H399=6,"Saturday",H399=7,"Sunday")</f>
        <v>Saturday</v>
      </c>
      <c r="C399" s="1">
        <f t="shared" si="36"/>
        <v>45684</v>
      </c>
      <c r="D399" s="1">
        <f t="shared" si="37"/>
        <v>45689</v>
      </c>
      <c r="E399" s="1" cm="1">
        <f t="array" ref="E399">DATE(YEAR(A399),_xlfn.IFS(MONTH(A399)&lt;=3,1,MONTH(A399)&lt;=6,4,MONTH(A399)&lt;=9,7,MONTH(A399)&lt;=12,10),1)</f>
        <v>45658</v>
      </c>
      <c r="F399" s="1">
        <f t="shared" si="38"/>
        <v>45658</v>
      </c>
      <c r="G399">
        <f t="shared" si="39"/>
        <v>2</v>
      </c>
      <c r="H399">
        <f t="shared" si="40"/>
        <v>6</v>
      </c>
      <c r="I399">
        <f t="shared" si="41"/>
        <v>5</v>
      </c>
      <c r="J399" t="str" cm="1">
        <f t="array" ref="J399">_xlfn.IFS(H399&lt;6,"Weekday",H399&gt;5,"Weekend")</f>
        <v>Weekend</v>
      </c>
    </row>
    <row r="400" spans="1:10" x14ac:dyDescent="0.25">
      <c r="A400" s="1">
        <v>45690</v>
      </c>
      <c r="B400" s="1" t="str" cm="1">
        <f t="array" ref="B400">_xlfn.IFS(H400=1,"Monday",H400=2,"Tuesday",H400=3,"Wednesday",H400=4,"Thursday",H400=5,"Friday",H400=6,"Saturday",H400=7,"Sunday")</f>
        <v>Sunday</v>
      </c>
      <c r="C400" s="1">
        <f t="shared" si="36"/>
        <v>45684</v>
      </c>
      <c r="D400" s="1">
        <f t="shared" si="37"/>
        <v>45689</v>
      </c>
      <c r="E400" s="1" cm="1">
        <f t="array" ref="E400">DATE(YEAR(A400),_xlfn.IFS(MONTH(A400)&lt;=3,1,MONTH(A400)&lt;=6,4,MONTH(A400)&lt;=9,7,MONTH(A400)&lt;=12,10),1)</f>
        <v>45658</v>
      </c>
      <c r="F400" s="1">
        <f t="shared" si="38"/>
        <v>45658</v>
      </c>
      <c r="G400">
        <f t="shared" si="39"/>
        <v>2</v>
      </c>
      <c r="H400">
        <f t="shared" si="40"/>
        <v>7</v>
      </c>
      <c r="I400">
        <f t="shared" si="41"/>
        <v>5</v>
      </c>
      <c r="J400" t="str" cm="1">
        <f t="array" ref="J400">_xlfn.IFS(H400&lt;6,"Weekday",H400&gt;5,"Weekend")</f>
        <v>Weekend</v>
      </c>
    </row>
    <row r="401" spans="1:10" x14ac:dyDescent="0.25">
      <c r="A401" s="1">
        <v>45691</v>
      </c>
      <c r="B401" s="1" t="str" cm="1">
        <f t="array" ref="B401">_xlfn.IFS(H401=1,"Monday",H401=2,"Tuesday",H401=3,"Wednesday",H401=4,"Thursday",H401=5,"Friday",H401=6,"Saturday",H401=7,"Sunday")</f>
        <v>Monday</v>
      </c>
      <c r="C401" s="1">
        <f t="shared" si="36"/>
        <v>45691</v>
      </c>
      <c r="D401" s="1">
        <f t="shared" si="37"/>
        <v>45689</v>
      </c>
      <c r="E401" s="1" cm="1">
        <f t="array" ref="E401">DATE(YEAR(A401),_xlfn.IFS(MONTH(A401)&lt;=3,1,MONTH(A401)&lt;=6,4,MONTH(A401)&lt;=9,7,MONTH(A401)&lt;=12,10),1)</f>
        <v>45658</v>
      </c>
      <c r="F401" s="1">
        <f t="shared" si="38"/>
        <v>45658</v>
      </c>
      <c r="G401">
        <f t="shared" si="39"/>
        <v>2</v>
      </c>
      <c r="H401">
        <f t="shared" si="40"/>
        <v>1</v>
      </c>
      <c r="I401">
        <f t="shared" si="41"/>
        <v>6</v>
      </c>
      <c r="J401" t="str" cm="1">
        <f t="array" ref="J401">_xlfn.IFS(H401&lt;6,"Weekday",H401&gt;5,"Weekend")</f>
        <v>Weekday</v>
      </c>
    </row>
    <row r="402" spans="1:10" x14ac:dyDescent="0.25">
      <c r="A402" s="1">
        <v>45692</v>
      </c>
      <c r="B402" s="1" t="str" cm="1">
        <f t="array" ref="B402">_xlfn.IFS(H402=1,"Monday",H402=2,"Tuesday",H402=3,"Wednesday",H402=4,"Thursday",H402=5,"Friday",H402=6,"Saturday",H402=7,"Sunday")</f>
        <v>Tuesday</v>
      </c>
      <c r="C402" s="1">
        <f t="shared" si="36"/>
        <v>45691</v>
      </c>
      <c r="D402" s="1">
        <f t="shared" si="37"/>
        <v>45689</v>
      </c>
      <c r="E402" s="1" cm="1">
        <f t="array" ref="E402">DATE(YEAR(A402),_xlfn.IFS(MONTH(A402)&lt;=3,1,MONTH(A402)&lt;=6,4,MONTH(A402)&lt;=9,7,MONTH(A402)&lt;=12,10),1)</f>
        <v>45658</v>
      </c>
      <c r="F402" s="1">
        <f t="shared" si="38"/>
        <v>45658</v>
      </c>
      <c r="G402">
        <f t="shared" si="39"/>
        <v>2</v>
      </c>
      <c r="H402">
        <f t="shared" si="40"/>
        <v>2</v>
      </c>
      <c r="I402">
        <f t="shared" si="41"/>
        <v>6</v>
      </c>
      <c r="J402" t="str" cm="1">
        <f t="array" ref="J402">_xlfn.IFS(H402&lt;6,"Weekday",H402&gt;5,"Weekend")</f>
        <v>Weekday</v>
      </c>
    </row>
    <row r="403" spans="1:10" x14ac:dyDescent="0.25">
      <c r="A403" s="1">
        <v>45693</v>
      </c>
      <c r="B403" s="1" t="str" cm="1">
        <f t="array" ref="B403">_xlfn.IFS(H403=1,"Monday",H403=2,"Tuesday",H403=3,"Wednesday",H403=4,"Thursday",H403=5,"Friday",H403=6,"Saturday",H403=7,"Sunday")</f>
        <v>Wednesday</v>
      </c>
      <c r="C403" s="1">
        <f t="shared" si="36"/>
        <v>45691</v>
      </c>
      <c r="D403" s="1">
        <f t="shared" si="37"/>
        <v>45689</v>
      </c>
      <c r="E403" s="1" cm="1">
        <f t="array" ref="E403">DATE(YEAR(A403),_xlfn.IFS(MONTH(A403)&lt;=3,1,MONTH(A403)&lt;=6,4,MONTH(A403)&lt;=9,7,MONTH(A403)&lt;=12,10),1)</f>
        <v>45658</v>
      </c>
      <c r="F403" s="1">
        <f t="shared" si="38"/>
        <v>45658</v>
      </c>
      <c r="G403">
        <f t="shared" si="39"/>
        <v>2</v>
      </c>
      <c r="H403">
        <f t="shared" si="40"/>
        <v>3</v>
      </c>
      <c r="I403">
        <f t="shared" si="41"/>
        <v>6</v>
      </c>
      <c r="J403" t="str" cm="1">
        <f t="array" ref="J403">_xlfn.IFS(H403&lt;6,"Weekday",H403&gt;5,"Weekend")</f>
        <v>Weekday</v>
      </c>
    </row>
    <row r="404" spans="1:10" x14ac:dyDescent="0.25">
      <c r="A404" s="1">
        <v>45694</v>
      </c>
      <c r="B404" s="1" t="str" cm="1">
        <f t="array" ref="B404">_xlfn.IFS(H404=1,"Monday",H404=2,"Tuesday",H404=3,"Wednesday",H404=4,"Thursday",H404=5,"Friday",H404=6,"Saturday",H404=7,"Sunday")</f>
        <v>Thursday</v>
      </c>
      <c r="C404" s="1">
        <f t="shared" si="36"/>
        <v>45691</v>
      </c>
      <c r="D404" s="1">
        <f t="shared" si="37"/>
        <v>45689</v>
      </c>
      <c r="E404" s="1" cm="1">
        <f t="array" ref="E404">DATE(YEAR(A404),_xlfn.IFS(MONTH(A404)&lt;=3,1,MONTH(A404)&lt;=6,4,MONTH(A404)&lt;=9,7,MONTH(A404)&lt;=12,10),1)</f>
        <v>45658</v>
      </c>
      <c r="F404" s="1">
        <f t="shared" si="38"/>
        <v>45658</v>
      </c>
      <c r="G404">
        <f t="shared" si="39"/>
        <v>2</v>
      </c>
      <c r="H404">
        <f t="shared" si="40"/>
        <v>4</v>
      </c>
      <c r="I404">
        <f t="shared" si="41"/>
        <v>6</v>
      </c>
      <c r="J404" t="str" cm="1">
        <f t="array" ref="J404">_xlfn.IFS(H404&lt;6,"Weekday",H404&gt;5,"Weekend")</f>
        <v>Weekday</v>
      </c>
    </row>
    <row r="405" spans="1:10" x14ac:dyDescent="0.25">
      <c r="A405" s="1">
        <v>45695</v>
      </c>
      <c r="B405" s="1" t="str" cm="1">
        <f t="array" ref="B405">_xlfn.IFS(H405=1,"Monday",H405=2,"Tuesday",H405=3,"Wednesday",H405=4,"Thursday",H405=5,"Friday",H405=6,"Saturday",H405=7,"Sunday")</f>
        <v>Friday</v>
      </c>
      <c r="C405" s="1">
        <f t="shared" si="36"/>
        <v>45691</v>
      </c>
      <c r="D405" s="1">
        <f t="shared" si="37"/>
        <v>45689</v>
      </c>
      <c r="E405" s="1" cm="1">
        <f t="array" ref="E405">DATE(YEAR(A405),_xlfn.IFS(MONTH(A405)&lt;=3,1,MONTH(A405)&lt;=6,4,MONTH(A405)&lt;=9,7,MONTH(A405)&lt;=12,10),1)</f>
        <v>45658</v>
      </c>
      <c r="F405" s="1">
        <f t="shared" si="38"/>
        <v>45658</v>
      </c>
      <c r="G405">
        <f t="shared" si="39"/>
        <v>2</v>
      </c>
      <c r="H405">
        <f t="shared" si="40"/>
        <v>5</v>
      </c>
      <c r="I405">
        <f t="shared" si="41"/>
        <v>6</v>
      </c>
      <c r="J405" t="str" cm="1">
        <f t="array" ref="J405">_xlfn.IFS(H405&lt;6,"Weekday",H405&gt;5,"Weekend")</f>
        <v>Weekday</v>
      </c>
    </row>
    <row r="406" spans="1:10" x14ac:dyDescent="0.25">
      <c r="A406" s="1">
        <v>45696</v>
      </c>
      <c r="B406" s="1" t="str" cm="1">
        <f t="array" ref="B406">_xlfn.IFS(H406=1,"Monday",H406=2,"Tuesday",H406=3,"Wednesday",H406=4,"Thursday",H406=5,"Friday",H406=6,"Saturday",H406=7,"Sunday")</f>
        <v>Saturday</v>
      </c>
      <c r="C406" s="1">
        <f t="shared" si="36"/>
        <v>45691</v>
      </c>
      <c r="D406" s="1">
        <f t="shared" si="37"/>
        <v>45689</v>
      </c>
      <c r="E406" s="1" cm="1">
        <f t="array" ref="E406">DATE(YEAR(A406),_xlfn.IFS(MONTH(A406)&lt;=3,1,MONTH(A406)&lt;=6,4,MONTH(A406)&lt;=9,7,MONTH(A406)&lt;=12,10),1)</f>
        <v>45658</v>
      </c>
      <c r="F406" s="1">
        <f t="shared" si="38"/>
        <v>45658</v>
      </c>
      <c r="G406">
        <f t="shared" si="39"/>
        <v>2</v>
      </c>
      <c r="H406">
        <f t="shared" si="40"/>
        <v>6</v>
      </c>
      <c r="I406">
        <f t="shared" si="41"/>
        <v>6</v>
      </c>
      <c r="J406" t="str" cm="1">
        <f t="array" ref="J406">_xlfn.IFS(H406&lt;6,"Weekday",H406&gt;5,"Weekend")</f>
        <v>Weekend</v>
      </c>
    </row>
    <row r="407" spans="1:10" x14ac:dyDescent="0.25">
      <c r="A407" s="1">
        <v>45697</v>
      </c>
      <c r="B407" s="1" t="str" cm="1">
        <f t="array" ref="B407">_xlfn.IFS(H407=1,"Monday",H407=2,"Tuesday",H407=3,"Wednesday",H407=4,"Thursday",H407=5,"Friday",H407=6,"Saturday",H407=7,"Sunday")</f>
        <v>Sunday</v>
      </c>
      <c r="C407" s="1">
        <f t="shared" si="36"/>
        <v>45691</v>
      </c>
      <c r="D407" s="1">
        <f t="shared" si="37"/>
        <v>45689</v>
      </c>
      <c r="E407" s="1" cm="1">
        <f t="array" ref="E407">DATE(YEAR(A407),_xlfn.IFS(MONTH(A407)&lt;=3,1,MONTH(A407)&lt;=6,4,MONTH(A407)&lt;=9,7,MONTH(A407)&lt;=12,10),1)</f>
        <v>45658</v>
      </c>
      <c r="F407" s="1">
        <f t="shared" si="38"/>
        <v>45658</v>
      </c>
      <c r="G407">
        <f t="shared" si="39"/>
        <v>2</v>
      </c>
      <c r="H407">
        <f t="shared" si="40"/>
        <v>7</v>
      </c>
      <c r="I407">
        <f t="shared" si="41"/>
        <v>6</v>
      </c>
      <c r="J407" t="str" cm="1">
        <f t="array" ref="J407">_xlfn.IFS(H407&lt;6,"Weekday",H407&gt;5,"Weekend")</f>
        <v>Weekend</v>
      </c>
    </row>
    <row r="408" spans="1:10" x14ac:dyDescent="0.25">
      <c r="A408" s="1">
        <v>45698</v>
      </c>
      <c r="B408" s="1" t="str" cm="1">
        <f t="array" ref="B408">_xlfn.IFS(H408=1,"Monday",H408=2,"Tuesday",H408=3,"Wednesday",H408=4,"Thursday",H408=5,"Friday",H408=6,"Saturday",H408=7,"Sunday")</f>
        <v>Monday</v>
      </c>
      <c r="C408" s="1">
        <f t="shared" si="36"/>
        <v>45698</v>
      </c>
      <c r="D408" s="1">
        <f t="shared" si="37"/>
        <v>45689</v>
      </c>
      <c r="E408" s="1" cm="1">
        <f t="array" ref="E408">DATE(YEAR(A408),_xlfn.IFS(MONTH(A408)&lt;=3,1,MONTH(A408)&lt;=6,4,MONTH(A408)&lt;=9,7,MONTH(A408)&lt;=12,10),1)</f>
        <v>45658</v>
      </c>
      <c r="F408" s="1">
        <f t="shared" si="38"/>
        <v>45658</v>
      </c>
      <c r="G408">
        <f t="shared" si="39"/>
        <v>2</v>
      </c>
      <c r="H408">
        <f t="shared" si="40"/>
        <v>1</v>
      </c>
      <c r="I408">
        <f t="shared" si="41"/>
        <v>7</v>
      </c>
      <c r="J408" t="str" cm="1">
        <f t="array" ref="J408">_xlfn.IFS(H408&lt;6,"Weekday",H408&gt;5,"Weekend")</f>
        <v>Weekday</v>
      </c>
    </row>
    <row r="409" spans="1:10" x14ac:dyDescent="0.25">
      <c r="A409" s="1">
        <v>45699</v>
      </c>
      <c r="B409" s="1" t="str" cm="1">
        <f t="array" ref="B409">_xlfn.IFS(H409=1,"Monday",H409=2,"Tuesday",H409=3,"Wednesday",H409=4,"Thursday",H409=5,"Friday",H409=6,"Saturday",H409=7,"Sunday")</f>
        <v>Tuesday</v>
      </c>
      <c r="C409" s="1">
        <f t="shared" si="36"/>
        <v>45698</v>
      </c>
      <c r="D409" s="1">
        <f t="shared" si="37"/>
        <v>45689</v>
      </c>
      <c r="E409" s="1" cm="1">
        <f t="array" ref="E409">DATE(YEAR(A409),_xlfn.IFS(MONTH(A409)&lt;=3,1,MONTH(A409)&lt;=6,4,MONTH(A409)&lt;=9,7,MONTH(A409)&lt;=12,10),1)</f>
        <v>45658</v>
      </c>
      <c r="F409" s="1">
        <f t="shared" si="38"/>
        <v>45658</v>
      </c>
      <c r="G409">
        <f t="shared" si="39"/>
        <v>2</v>
      </c>
      <c r="H409">
        <f t="shared" si="40"/>
        <v>2</v>
      </c>
      <c r="I409">
        <f t="shared" si="41"/>
        <v>7</v>
      </c>
      <c r="J409" t="str" cm="1">
        <f t="array" ref="J409">_xlfn.IFS(H409&lt;6,"Weekday",H409&gt;5,"Weekend")</f>
        <v>Weekday</v>
      </c>
    </row>
    <row r="410" spans="1:10" x14ac:dyDescent="0.25">
      <c r="A410" s="1">
        <v>45700</v>
      </c>
      <c r="B410" s="1" t="str" cm="1">
        <f t="array" ref="B410">_xlfn.IFS(H410=1,"Monday",H410=2,"Tuesday",H410=3,"Wednesday",H410=4,"Thursday",H410=5,"Friday",H410=6,"Saturday",H410=7,"Sunday")</f>
        <v>Wednesday</v>
      </c>
      <c r="C410" s="1">
        <f t="shared" si="36"/>
        <v>45698</v>
      </c>
      <c r="D410" s="1">
        <f t="shared" si="37"/>
        <v>45689</v>
      </c>
      <c r="E410" s="1" cm="1">
        <f t="array" ref="E410">DATE(YEAR(A410),_xlfn.IFS(MONTH(A410)&lt;=3,1,MONTH(A410)&lt;=6,4,MONTH(A410)&lt;=9,7,MONTH(A410)&lt;=12,10),1)</f>
        <v>45658</v>
      </c>
      <c r="F410" s="1">
        <f t="shared" si="38"/>
        <v>45658</v>
      </c>
      <c r="G410">
        <f t="shared" si="39"/>
        <v>2</v>
      </c>
      <c r="H410">
        <f t="shared" si="40"/>
        <v>3</v>
      </c>
      <c r="I410">
        <f t="shared" si="41"/>
        <v>7</v>
      </c>
      <c r="J410" t="str" cm="1">
        <f t="array" ref="J410">_xlfn.IFS(H410&lt;6,"Weekday",H410&gt;5,"Weekend")</f>
        <v>Weekday</v>
      </c>
    </row>
    <row r="411" spans="1:10" x14ac:dyDescent="0.25">
      <c r="A411" s="1">
        <v>45701</v>
      </c>
      <c r="B411" s="1" t="str" cm="1">
        <f t="array" ref="B411">_xlfn.IFS(H411=1,"Monday",H411=2,"Tuesday",H411=3,"Wednesday",H411=4,"Thursday",H411=5,"Friday",H411=6,"Saturday",H411=7,"Sunday")</f>
        <v>Thursday</v>
      </c>
      <c r="C411" s="1">
        <f t="shared" si="36"/>
        <v>45698</v>
      </c>
      <c r="D411" s="1">
        <f t="shared" si="37"/>
        <v>45689</v>
      </c>
      <c r="E411" s="1" cm="1">
        <f t="array" ref="E411">DATE(YEAR(A411),_xlfn.IFS(MONTH(A411)&lt;=3,1,MONTH(A411)&lt;=6,4,MONTH(A411)&lt;=9,7,MONTH(A411)&lt;=12,10),1)</f>
        <v>45658</v>
      </c>
      <c r="F411" s="1">
        <f t="shared" si="38"/>
        <v>45658</v>
      </c>
      <c r="G411">
        <f t="shared" si="39"/>
        <v>2</v>
      </c>
      <c r="H411">
        <f t="shared" si="40"/>
        <v>4</v>
      </c>
      <c r="I411">
        <f t="shared" si="41"/>
        <v>7</v>
      </c>
      <c r="J411" t="str" cm="1">
        <f t="array" ref="J411">_xlfn.IFS(H411&lt;6,"Weekday",H411&gt;5,"Weekend")</f>
        <v>Weekday</v>
      </c>
    </row>
    <row r="412" spans="1:10" x14ac:dyDescent="0.25">
      <c r="A412" s="1">
        <v>45702</v>
      </c>
      <c r="B412" s="1" t="str" cm="1">
        <f t="array" ref="B412">_xlfn.IFS(H412=1,"Monday",H412=2,"Tuesday",H412=3,"Wednesday",H412=4,"Thursday",H412=5,"Friday",H412=6,"Saturday",H412=7,"Sunday")</f>
        <v>Friday</v>
      </c>
      <c r="C412" s="1">
        <f t="shared" si="36"/>
        <v>45698</v>
      </c>
      <c r="D412" s="1">
        <f t="shared" si="37"/>
        <v>45689</v>
      </c>
      <c r="E412" s="1" cm="1">
        <f t="array" ref="E412">DATE(YEAR(A412),_xlfn.IFS(MONTH(A412)&lt;=3,1,MONTH(A412)&lt;=6,4,MONTH(A412)&lt;=9,7,MONTH(A412)&lt;=12,10),1)</f>
        <v>45658</v>
      </c>
      <c r="F412" s="1">
        <f t="shared" si="38"/>
        <v>45658</v>
      </c>
      <c r="G412">
        <f t="shared" si="39"/>
        <v>2</v>
      </c>
      <c r="H412">
        <f t="shared" si="40"/>
        <v>5</v>
      </c>
      <c r="I412">
        <f t="shared" si="41"/>
        <v>7</v>
      </c>
      <c r="J412" t="str" cm="1">
        <f t="array" ref="J412">_xlfn.IFS(H412&lt;6,"Weekday",H412&gt;5,"Weekend")</f>
        <v>Weekday</v>
      </c>
    </row>
    <row r="413" spans="1:10" x14ac:dyDescent="0.25">
      <c r="A413" s="1">
        <v>45703</v>
      </c>
      <c r="B413" s="1" t="str" cm="1">
        <f t="array" ref="B413">_xlfn.IFS(H413=1,"Monday",H413=2,"Tuesday",H413=3,"Wednesday",H413=4,"Thursday",H413=5,"Friday",H413=6,"Saturday",H413=7,"Sunday")</f>
        <v>Saturday</v>
      </c>
      <c r="C413" s="1">
        <f t="shared" si="36"/>
        <v>45698</v>
      </c>
      <c r="D413" s="1">
        <f t="shared" si="37"/>
        <v>45689</v>
      </c>
      <c r="E413" s="1" cm="1">
        <f t="array" ref="E413">DATE(YEAR(A413),_xlfn.IFS(MONTH(A413)&lt;=3,1,MONTH(A413)&lt;=6,4,MONTH(A413)&lt;=9,7,MONTH(A413)&lt;=12,10),1)</f>
        <v>45658</v>
      </c>
      <c r="F413" s="1">
        <f t="shared" si="38"/>
        <v>45658</v>
      </c>
      <c r="G413">
        <f t="shared" si="39"/>
        <v>2</v>
      </c>
      <c r="H413">
        <f t="shared" si="40"/>
        <v>6</v>
      </c>
      <c r="I413">
        <f t="shared" si="41"/>
        <v>7</v>
      </c>
      <c r="J413" t="str" cm="1">
        <f t="array" ref="J413">_xlfn.IFS(H413&lt;6,"Weekday",H413&gt;5,"Weekend")</f>
        <v>Weekend</v>
      </c>
    </row>
    <row r="414" spans="1:10" x14ac:dyDescent="0.25">
      <c r="A414" s="1">
        <v>45704</v>
      </c>
      <c r="B414" s="1" t="str" cm="1">
        <f t="array" ref="B414">_xlfn.IFS(H414=1,"Monday",H414=2,"Tuesday",H414=3,"Wednesday",H414=4,"Thursday",H414=5,"Friday",H414=6,"Saturday",H414=7,"Sunday")</f>
        <v>Sunday</v>
      </c>
      <c r="C414" s="1">
        <f t="shared" si="36"/>
        <v>45698</v>
      </c>
      <c r="D414" s="1">
        <f t="shared" si="37"/>
        <v>45689</v>
      </c>
      <c r="E414" s="1" cm="1">
        <f t="array" ref="E414">DATE(YEAR(A414),_xlfn.IFS(MONTH(A414)&lt;=3,1,MONTH(A414)&lt;=6,4,MONTH(A414)&lt;=9,7,MONTH(A414)&lt;=12,10),1)</f>
        <v>45658</v>
      </c>
      <c r="F414" s="1">
        <f t="shared" si="38"/>
        <v>45658</v>
      </c>
      <c r="G414">
        <f t="shared" si="39"/>
        <v>2</v>
      </c>
      <c r="H414">
        <f t="shared" si="40"/>
        <v>7</v>
      </c>
      <c r="I414">
        <f t="shared" si="41"/>
        <v>7</v>
      </c>
      <c r="J414" t="str" cm="1">
        <f t="array" ref="J414">_xlfn.IFS(H414&lt;6,"Weekday",H414&gt;5,"Weekend")</f>
        <v>Weekend</v>
      </c>
    </row>
    <row r="415" spans="1:10" x14ac:dyDescent="0.25">
      <c r="A415" s="1">
        <v>45705</v>
      </c>
      <c r="B415" s="1" t="str" cm="1">
        <f t="array" ref="B415">_xlfn.IFS(H415=1,"Monday",H415=2,"Tuesday",H415=3,"Wednesday",H415=4,"Thursday",H415=5,"Friday",H415=6,"Saturday",H415=7,"Sunday")</f>
        <v>Monday</v>
      </c>
      <c r="C415" s="1">
        <f t="shared" si="36"/>
        <v>45705</v>
      </c>
      <c r="D415" s="1">
        <f t="shared" si="37"/>
        <v>45689</v>
      </c>
      <c r="E415" s="1" cm="1">
        <f t="array" ref="E415">DATE(YEAR(A415),_xlfn.IFS(MONTH(A415)&lt;=3,1,MONTH(A415)&lt;=6,4,MONTH(A415)&lt;=9,7,MONTH(A415)&lt;=12,10),1)</f>
        <v>45658</v>
      </c>
      <c r="F415" s="1">
        <f t="shared" si="38"/>
        <v>45658</v>
      </c>
      <c r="G415">
        <f t="shared" si="39"/>
        <v>2</v>
      </c>
      <c r="H415">
        <f t="shared" si="40"/>
        <v>1</v>
      </c>
      <c r="I415">
        <f t="shared" si="41"/>
        <v>8</v>
      </c>
      <c r="J415" t="str" cm="1">
        <f t="array" ref="J415">_xlfn.IFS(H415&lt;6,"Weekday",H415&gt;5,"Weekend")</f>
        <v>Weekday</v>
      </c>
    </row>
    <row r="416" spans="1:10" x14ac:dyDescent="0.25">
      <c r="A416" s="1">
        <v>45706</v>
      </c>
      <c r="B416" s="1" t="str" cm="1">
        <f t="array" ref="B416">_xlfn.IFS(H416=1,"Monday",H416=2,"Tuesday",H416=3,"Wednesday",H416=4,"Thursday",H416=5,"Friday",H416=6,"Saturday",H416=7,"Sunday")</f>
        <v>Tuesday</v>
      </c>
      <c r="C416" s="1">
        <f t="shared" si="36"/>
        <v>45705</v>
      </c>
      <c r="D416" s="1">
        <f t="shared" si="37"/>
        <v>45689</v>
      </c>
      <c r="E416" s="1" cm="1">
        <f t="array" ref="E416">DATE(YEAR(A416),_xlfn.IFS(MONTH(A416)&lt;=3,1,MONTH(A416)&lt;=6,4,MONTH(A416)&lt;=9,7,MONTH(A416)&lt;=12,10),1)</f>
        <v>45658</v>
      </c>
      <c r="F416" s="1">
        <f t="shared" si="38"/>
        <v>45658</v>
      </c>
      <c r="G416">
        <f t="shared" si="39"/>
        <v>2</v>
      </c>
      <c r="H416">
        <f t="shared" si="40"/>
        <v>2</v>
      </c>
      <c r="I416">
        <f t="shared" si="41"/>
        <v>8</v>
      </c>
      <c r="J416" t="str" cm="1">
        <f t="array" ref="J416">_xlfn.IFS(H416&lt;6,"Weekday",H416&gt;5,"Weekend")</f>
        <v>Weekday</v>
      </c>
    </row>
    <row r="417" spans="1:10" x14ac:dyDescent="0.25">
      <c r="A417" s="1">
        <v>45707</v>
      </c>
      <c r="B417" s="1" t="str" cm="1">
        <f t="array" ref="B417">_xlfn.IFS(H417=1,"Monday",H417=2,"Tuesday",H417=3,"Wednesday",H417=4,"Thursday",H417=5,"Friday",H417=6,"Saturday",H417=7,"Sunday")</f>
        <v>Wednesday</v>
      </c>
      <c r="C417" s="1">
        <f t="shared" si="36"/>
        <v>45705</v>
      </c>
      <c r="D417" s="1">
        <f t="shared" si="37"/>
        <v>45689</v>
      </c>
      <c r="E417" s="1" cm="1">
        <f t="array" ref="E417">DATE(YEAR(A417),_xlfn.IFS(MONTH(A417)&lt;=3,1,MONTH(A417)&lt;=6,4,MONTH(A417)&lt;=9,7,MONTH(A417)&lt;=12,10),1)</f>
        <v>45658</v>
      </c>
      <c r="F417" s="1">
        <f t="shared" si="38"/>
        <v>45658</v>
      </c>
      <c r="G417">
        <f t="shared" si="39"/>
        <v>2</v>
      </c>
      <c r="H417">
        <f t="shared" si="40"/>
        <v>3</v>
      </c>
      <c r="I417">
        <f t="shared" si="41"/>
        <v>8</v>
      </c>
      <c r="J417" t="str" cm="1">
        <f t="array" ref="J417">_xlfn.IFS(H417&lt;6,"Weekday",H417&gt;5,"Weekend")</f>
        <v>Weekday</v>
      </c>
    </row>
    <row r="418" spans="1:10" x14ac:dyDescent="0.25">
      <c r="A418" s="1">
        <v>45708</v>
      </c>
      <c r="B418" s="1" t="str" cm="1">
        <f t="array" ref="B418">_xlfn.IFS(H418=1,"Monday",H418=2,"Tuesday",H418=3,"Wednesday",H418=4,"Thursday",H418=5,"Friday",H418=6,"Saturday",H418=7,"Sunday")</f>
        <v>Thursday</v>
      </c>
      <c r="C418" s="1">
        <f t="shared" si="36"/>
        <v>45705</v>
      </c>
      <c r="D418" s="1">
        <f t="shared" si="37"/>
        <v>45689</v>
      </c>
      <c r="E418" s="1" cm="1">
        <f t="array" ref="E418">DATE(YEAR(A418),_xlfn.IFS(MONTH(A418)&lt;=3,1,MONTH(A418)&lt;=6,4,MONTH(A418)&lt;=9,7,MONTH(A418)&lt;=12,10),1)</f>
        <v>45658</v>
      </c>
      <c r="F418" s="1">
        <f t="shared" si="38"/>
        <v>45658</v>
      </c>
      <c r="G418">
        <f t="shared" si="39"/>
        <v>2</v>
      </c>
      <c r="H418">
        <f t="shared" si="40"/>
        <v>4</v>
      </c>
      <c r="I418">
        <f t="shared" si="41"/>
        <v>8</v>
      </c>
      <c r="J418" t="str" cm="1">
        <f t="array" ref="J418">_xlfn.IFS(H418&lt;6,"Weekday",H418&gt;5,"Weekend")</f>
        <v>Weekday</v>
      </c>
    </row>
    <row r="419" spans="1:10" x14ac:dyDescent="0.25">
      <c r="A419" s="1">
        <v>45709</v>
      </c>
      <c r="B419" s="1" t="str" cm="1">
        <f t="array" ref="B419">_xlfn.IFS(H419=1,"Monday",H419=2,"Tuesday",H419=3,"Wednesday",H419=4,"Thursday",H419=5,"Friday",H419=6,"Saturday",H419=7,"Sunday")</f>
        <v>Friday</v>
      </c>
      <c r="C419" s="1">
        <f t="shared" si="36"/>
        <v>45705</v>
      </c>
      <c r="D419" s="1">
        <f t="shared" si="37"/>
        <v>45689</v>
      </c>
      <c r="E419" s="1" cm="1">
        <f t="array" ref="E419">DATE(YEAR(A419),_xlfn.IFS(MONTH(A419)&lt;=3,1,MONTH(A419)&lt;=6,4,MONTH(A419)&lt;=9,7,MONTH(A419)&lt;=12,10),1)</f>
        <v>45658</v>
      </c>
      <c r="F419" s="1">
        <f t="shared" si="38"/>
        <v>45658</v>
      </c>
      <c r="G419">
        <f t="shared" si="39"/>
        <v>2</v>
      </c>
      <c r="H419">
        <f t="shared" si="40"/>
        <v>5</v>
      </c>
      <c r="I419">
        <f t="shared" si="41"/>
        <v>8</v>
      </c>
      <c r="J419" t="str" cm="1">
        <f t="array" ref="J419">_xlfn.IFS(H419&lt;6,"Weekday",H419&gt;5,"Weekend")</f>
        <v>Weekday</v>
      </c>
    </row>
    <row r="420" spans="1:10" x14ac:dyDescent="0.25">
      <c r="A420" s="1">
        <v>45710</v>
      </c>
      <c r="B420" s="1" t="str" cm="1">
        <f t="array" ref="B420">_xlfn.IFS(H420=1,"Monday",H420=2,"Tuesday",H420=3,"Wednesday",H420=4,"Thursday",H420=5,"Friday",H420=6,"Saturday",H420=7,"Sunday")</f>
        <v>Saturday</v>
      </c>
      <c r="C420" s="1">
        <f t="shared" si="36"/>
        <v>45705</v>
      </c>
      <c r="D420" s="1">
        <f t="shared" si="37"/>
        <v>45689</v>
      </c>
      <c r="E420" s="1" cm="1">
        <f t="array" ref="E420">DATE(YEAR(A420),_xlfn.IFS(MONTH(A420)&lt;=3,1,MONTH(A420)&lt;=6,4,MONTH(A420)&lt;=9,7,MONTH(A420)&lt;=12,10),1)</f>
        <v>45658</v>
      </c>
      <c r="F420" s="1">
        <f t="shared" si="38"/>
        <v>45658</v>
      </c>
      <c r="G420">
        <f t="shared" si="39"/>
        <v>2</v>
      </c>
      <c r="H420">
        <f t="shared" si="40"/>
        <v>6</v>
      </c>
      <c r="I420">
        <f t="shared" si="41"/>
        <v>8</v>
      </c>
      <c r="J420" t="str" cm="1">
        <f t="array" ref="J420">_xlfn.IFS(H420&lt;6,"Weekday",H420&gt;5,"Weekend")</f>
        <v>Weekend</v>
      </c>
    </row>
    <row r="421" spans="1:10" x14ac:dyDescent="0.25">
      <c r="A421" s="1">
        <v>45711</v>
      </c>
      <c r="B421" s="1" t="str" cm="1">
        <f t="array" ref="B421">_xlfn.IFS(H421=1,"Monday",H421=2,"Tuesday",H421=3,"Wednesday",H421=4,"Thursday",H421=5,"Friday",H421=6,"Saturday",H421=7,"Sunday")</f>
        <v>Sunday</v>
      </c>
      <c r="C421" s="1">
        <f t="shared" si="36"/>
        <v>45705</v>
      </c>
      <c r="D421" s="1">
        <f t="shared" si="37"/>
        <v>45689</v>
      </c>
      <c r="E421" s="1" cm="1">
        <f t="array" ref="E421">DATE(YEAR(A421),_xlfn.IFS(MONTH(A421)&lt;=3,1,MONTH(A421)&lt;=6,4,MONTH(A421)&lt;=9,7,MONTH(A421)&lt;=12,10),1)</f>
        <v>45658</v>
      </c>
      <c r="F421" s="1">
        <f t="shared" si="38"/>
        <v>45658</v>
      </c>
      <c r="G421">
        <f t="shared" si="39"/>
        <v>2</v>
      </c>
      <c r="H421">
        <f t="shared" si="40"/>
        <v>7</v>
      </c>
      <c r="I421">
        <f t="shared" si="41"/>
        <v>8</v>
      </c>
      <c r="J421" t="str" cm="1">
        <f t="array" ref="J421">_xlfn.IFS(H421&lt;6,"Weekday",H421&gt;5,"Weekend")</f>
        <v>Weekend</v>
      </c>
    </row>
    <row r="422" spans="1:10" x14ac:dyDescent="0.25">
      <c r="A422" s="1">
        <v>45712</v>
      </c>
      <c r="B422" s="1" t="str" cm="1">
        <f t="array" ref="B422">_xlfn.IFS(H422=1,"Monday",H422=2,"Tuesday",H422=3,"Wednesday",H422=4,"Thursday",H422=5,"Friday",H422=6,"Saturday",H422=7,"Sunday")</f>
        <v>Monday</v>
      </c>
      <c r="C422" s="1">
        <f t="shared" si="36"/>
        <v>45712</v>
      </c>
      <c r="D422" s="1">
        <f t="shared" si="37"/>
        <v>45689</v>
      </c>
      <c r="E422" s="1" cm="1">
        <f t="array" ref="E422">DATE(YEAR(A422),_xlfn.IFS(MONTH(A422)&lt;=3,1,MONTH(A422)&lt;=6,4,MONTH(A422)&lt;=9,7,MONTH(A422)&lt;=12,10),1)</f>
        <v>45658</v>
      </c>
      <c r="F422" s="1">
        <f t="shared" si="38"/>
        <v>45658</v>
      </c>
      <c r="G422">
        <f t="shared" si="39"/>
        <v>2</v>
      </c>
      <c r="H422">
        <f t="shared" si="40"/>
        <v>1</v>
      </c>
      <c r="I422">
        <f t="shared" si="41"/>
        <v>9</v>
      </c>
      <c r="J422" t="str" cm="1">
        <f t="array" ref="J422">_xlfn.IFS(H422&lt;6,"Weekday",H422&gt;5,"Weekend")</f>
        <v>Weekday</v>
      </c>
    </row>
    <row r="423" spans="1:10" x14ac:dyDescent="0.25">
      <c r="A423" s="1">
        <v>45713</v>
      </c>
      <c r="B423" s="1" t="str" cm="1">
        <f t="array" ref="B423">_xlfn.IFS(H423=1,"Monday",H423=2,"Tuesday",H423=3,"Wednesday",H423=4,"Thursday",H423=5,"Friday",H423=6,"Saturday",H423=7,"Sunday")</f>
        <v>Tuesday</v>
      </c>
      <c r="C423" s="1">
        <f t="shared" si="36"/>
        <v>45712</v>
      </c>
      <c r="D423" s="1">
        <f t="shared" si="37"/>
        <v>45689</v>
      </c>
      <c r="E423" s="1" cm="1">
        <f t="array" ref="E423">DATE(YEAR(A423),_xlfn.IFS(MONTH(A423)&lt;=3,1,MONTH(A423)&lt;=6,4,MONTH(A423)&lt;=9,7,MONTH(A423)&lt;=12,10),1)</f>
        <v>45658</v>
      </c>
      <c r="F423" s="1">
        <f t="shared" si="38"/>
        <v>45658</v>
      </c>
      <c r="G423">
        <f t="shared" si="39"/>
        <v>2</v>
      </c>
      <c r="H423">
        <f t="shared" si="40"/>
        <v>2</v>
      </c>
      <c r="I423">
        <f t="shared" si="41"/>
        <v>9</v>
      </c>
      <c r="J423" t="str" cm="1">
        <f t="array" ref="J423">_xlfn.IFS(H423&lt;6,"Weekday",H423&gt;5,"Weekend")</f>
        <v>Weekday</v>
      </c>
    </row>
    <row r="424" spans="1:10" x14ac:dyDescent="0.25">
      <c r="A424" s="1">
        <v>45714</v>
      </c>
      <c r="B424" s="1" t="str" cm="1">
        <f t="array" ref="B424">_xlfn.IFS(H424=1,"Monday",H424=2,"Tuesday",H424=3,"Wednesday",H424=4,"Thursday",H424=5,"Friday",H424=6,"Saturday",H424=7,"Sunday")</f>
        <v>Wednesday</v>
      </c>
      <c r="C424" s="1">
        <f t="shared" si="36"/>
        <v>45712</v>
      </c>
      <c r="D424" s="1">
        <f t="shared" si="37"/>
        <v>45689</v>
      </c>
      <c r="E424" s="1" cm="1">
        <f t="array" ref="E424">DATE(YEAR(A424),_xlfn.IFS(MONTH(A424)&lt;=3,1,MONTH(A424)&lt;=6,4,MONTH(A424)&lt;=9,7,MONTH(A424)&lt;=12,10),1)</f>
        <v>45658</v>
      </c>
      <c r="F424" s="1">
        <f t="shared" si="38"/>
        <v>45658</v>
      </c>
      <c r="G424">
        <f t="shared" si="39"/>
        <v>2</v>
      </c>
      <c r="H424">
        <f t="shared" si="40"/>
        <v>3</v>
      </c>
      <c r="I424">
        <f t="shared" si="41"/>
        <v>9</v>
      </c>
      <c r="J424" t="str" cm="1">
        <f t="array" ref="J424">_xlfn.IFS(H424&lt;6,"Weekday",H424&gt;5,"Weekend")</f>
        <v>Weekday</v>
      </c>
    </row>
    <row r="425" spans="1:10" x14ac:dyDescent="0.25">
      <c r="A425" s="1">
        <v>45715</v>
      </c>
      <c r="B425" s="1" t="str" cm="1">
        <f t="array" ref="B425">_xlfn.IFS(H425=1,"Monday",H425=2,"Tuesday",H425=3,"Wednesday",H425=4,"Thursday",H425=5,"Friday",H425=6,"Saturday",H425=7,"Sunday")</f>
        <v>Thursday</v>
      </c>
      <c r="C425" s="1">
        <f t="shared" si="36"/>
        <v>45712</v>
      </c>
      <c r="D425" s="1">
        <f t="shared" si="37"/>
        <v>45689</v>
      </c>
      <c r="E425" s="1" cm="1">
        <f t="array" ref="E425">DATE(YEAR(A425),_xlfn.IFS(MONTH(A425)&lt;=3,1,MONTH(A425)&lt;=6,4,MONTH(A425)&lt;=9,7,MONTH(A425)&lt;=12,10),1)</f>
        <v>45658</v>
      </c>
      <c r="F425" s="1">
        <f t="shared" si="38"/>
        <v>45658</v>
      </c>
      <c r="G425">
        <f t="shared" si="39"/>
        <v>2</v>
      </c>
      <c r="H425">
        <f t="shared" si="40"/>
        <v>4</v>
      </c>
      <c r="I425">
        <f t="shared" si="41"/>
        <v>9</v>
      </c>
      <c r="J425" t="str" cm="1">
        <f t="array" ref="J425">_xlfn.IFS(H425&lt;6,"Weekday",H425&gt;5,"Weekend")</f>
        <v>Weekday</v>
      </c>
    </row>
    <row r="426" spans="1:10" x14ac:dyDescent="0.25">
      <c r="A426" s="1">
        <v>45716</v>
      </c>
      <c r="B426" s="1" t="str" cm="1">
        <f t="array" ref="B426">_xlfn.IFS(H426=1,"Monday",H426=2,"Tuesday",H426=3,"Wednesday",H426=4,"Thursday",H426=5,"Friday",H426=6,"Saturday",H426=7,"Sunday")</f>
        <v>Friday</v>
      </c>
      <c r="C426" s="1">
        <f t="shared" si="36"/>
        <v>45712</v>
      </c>
      <c r="D426" s="1">
        <f t="shared" si="37"/>
        <v>45689</v>
      </c>
      <c r="E426" s="1" cm="1">
        <f t="array" ref="E426">DATE(YEAR(A426),_xlfn.IFS(MONTH(A426)&lt;=3,1,MONTH(A426)&lt;=6,4,MONTH(A426)&lt;=9,7,MONTH(A426)&lt;=12,10),1)</f>
        <v>45658</v>
      </c>
      <c r="F426" s="1">
        <f t="shared" si="38"/>
        <v>45658</v>
      </c>
      <c r="G426">
        <f t="shared" si="39"/>
        <v>2</v>
      </c>
      <c r="H426">
        <f t="shared" si="40"/>
        <v>5</v>
      </c>
      <c r="I426">
        <f t="shared" si="41"/>
        <v>9</v>
      </c>
      <c r="J426" t="str" cm="1">
        <f t="array" ref="J426">_xlfn.IFS(H426&lt;6,"Weekday",H426&gt;5,"Weekend")</f>
        <v>Weekday</v>
      </c>
    </row>
    <row r="427" spans="1:10" x14ac:dyDescent="0.25">
      <c r="A427" s="1">
        <v>45717</v>
      </c>
      <c r="B427" s="1" t="str" cm="1">
        <f t="array" ref="B427">_xlfn.IFS(H427=1,"Monday",H427=2,"Tuesday",H427=3,"Wednesday",H427=4,"Thursday",H427=5,"Friday",H427=6,"Saturday",H427=7,"Sunday")</f>
        <v>Saturday</v>
      </c>
      <c r="C427" s="1">
        <f t="shared" si="36"/>
        <v>45712</v>
      </c>
      <c r="D427" s="1">
        <f t="shared" si="37"/>
        <v>45717</v>
      </c>
      <c r="E427" s="1" cm="1">
        <f t="array" ref="E427">DATE(YEAR(A427),_xlfn.IFS(MONTH(A427)&lt;=3,1,MONTH(A427)&lt;=6,4,MONTH(A427)&lt;=9,7,MONTH(A427)&lt;=12,10),1)</f>
        <v>45658</v>
      </c>
      <c r="F427" s="1">
        <f t="shared" si="38"/>
        <v>45658</v>
      </c>
      <c r="G427">
        <f t="shared" si="39"/>
        <v>3</v>
      </c>
      <c r="H427">
        <f t="shared" si="40"/>
        <v>6</v>
      </c>
      <c r="I427">
        <f t="shared" si="41"/>
        <v>9</v>
      </c>
      <c r="J427" t="str" cm="1">
        <f t="array" ref="J427">_xlfn.IFS(H427&lt;6,"Weekday",H427&gt;5,"Weekend")</f>
        <v>Weekend</v>
      </c>
    </row>
    <row r="428" spans="1:10" x14ac:dyDescent="0.25">
      <c r="A428" s="1">
        <v>45718</v>
      </c>
      <c r="B428" s="1" t="str" cm="1">
        <f t="array" ref="B428">_xlfn.IFS(H428=1,"Monday",H428=2,"Tuesday",H428=3,"Wednesday",H428=4,"Thursday",H428=5,"Friday",H428=6,"Saturday",H428=7,"Sunday")</f>
        <v>Sunday</v>
      </c>
      <c r="C428" s="1">
        <f t="shared" si="36"/>
        <v>45712</v>
      </c>
      <c r="D428" s="1">
        <f t="shared" si="37"/>
        <v>45717</v>
      </c>
      <c r="E428" s="1" cm="1">
        <f t="array" ref="E428">DATE(YEAR(A428),_xlfn.IFS(MONTH(A428)&lt;=3,1,MONTH(A428)&lt;=6,4,MONTH(A428)&lt;=9,7,MONTH(A428)&lt;=12,10),1)</f>
        <v>45658</v>
      </c>
      <c r="F428" s="1">
        <f t="shared" si="38"/>
        <v>45658</v>
      </c>
      <c r="G428">
        <f t="shared" si="39"/>
        <v>3</v>
      </c>
      <c r="H428">
        <f t="shared" si="40"/>
        <v>7</v>
      </c>
      <c r="I428">
        <f t="shared" si="41"/>
        <v>9</v>
      </c>
      <c r="J428" t="str" cm="1">
        <f t="array" ref="J428">_xlfn.IFS(H428&lt;6,"Weekday",H428&gt;5,"Weekend")</f>
        <v>Weekend</v>
      </c>
    </row>
    <row r="429" spans="1:10" x14ac:dyDescent="0.25">
      <c r="A429" s="1">
        <v>45719</v>
      </c>
      <c r="B429" s="1" t="str" cm="1">
        <f t="array" ref="B429">_xlfn.IFS(H429=1,"Monday",H429=2,"Tuesday",H429=3,"Wednesday",H429=4,"Thursday",H429=5,"Friday",H429=6,"Saturday",H429=7,"Sunday")</f>
        <v>Monday</v>
      </c>
      <c r="C429" s="1">
        <f t="shared" si="36"/>
        <v>45719</v>
      </c>
      <c r="D429" s="1">
        <f t="shared" si="37"/>
        <v>45717</v>
      </c>
      <c r="E429" s="1" cm="1">
        <f t="array" ref="E429">DATE(YEAR(A429),_xlfn.IFS(MONTH(A429)&lt;=3,1,MONTH(A429)&lt;=6,4,MONTH(A429)&lt;=9,7,MONTH(A429)&lt;=12,10),1)</f>
        <v>45658</v>
      </c>
      <c r="F429" s="1">
        <f t="shared" si="38"/>
        <v>45658</v>
      </c>
      <c r="G429">
        <f t="shared" si="39"/>
        <v>3</v>
      </c>
      <c r="H429">
        <f t="shared" si="40"/>
        <v>1</v>
      </c>
      <c r="I429">
        <f t="shared" si="41"/>
        <v>10</v>
      </c>
      <c r="J429" t="str" cm="1">
        <f t="array" ref="J429">_xlfn.IFS(H429&lt;6,"Weekday",H429&gt;5,"Weekend")</f>
        <v>Weekday</v>
      </c>
    </row>
    <row r="430" spans="1:10" x14ac:dyDescent="0.25">
      <c r="A430" s="1">
        <v>45720</v>
      </c>
      <c r="B430" s="1" t="str" cm="1">
        <f t="array" ref="B430">_xlfn.IFS(H430=1,"Monday",H430=2,"Tuesday",H430=3,"Wednesday",H430=4,"Thursday",H430=5,"Friday",H430=6,"Saturday",H430=7,"Sunday")</f>
        <v>Tuesday</v>
      </c>
      <c r="C430" s="1">
        <f t="shared" si="36"/>
        <v>45719</v>
      </c>
      <c r="D430" s="1">
        <f t="shared" si="37"/>
        <v>45717</v>
      </c>
      <c r="E430" s="1" cm="1">
        <f t="array" ref="E430">DATE(YEAR(A430),_xlfn.IFS(MONTH(A430)&lt;=3,1,MONTH(A430)&lt;=6,4,MONTH(A430)&lt;=9,7,MONTH(A430)&lt;=12,10),1)</f>
        <v>45658</v>
      </c>
      <c r="F430" s="1">
        <f t="shared" si="38"/>
        <v>45658</v>
      </c>
      <c r="G430">
        <f t="shared" si="39"/>
        <v>3</v>
      </c>
      <c r="H430">
        <f t="shared" si="40"/>
        <v>2</v>
      </c>
      <c r="I430">
        <f t="shared" si="41"/>
        <v>10</v>
      </c>
      <c r="J430" t="str" cm="1">
        <f t="array" ref="J430">_xlfn.IFS(H430&lt;6,"Weekday",H430&gt;5,"Weekend")</f>
        <v>Weekday</v>
      </c>
    </row>
    <row r="431" spans="1:10" x14ac:dyDescent="0.25">
      <c r="A431" s="1">
        <v>45721</v>
      </c>
      <c r="B431" s="1" t="str" cm="1">
        <f t="array" ref="B431">_xlfn.IFS(H431=1,"Monday",H431=2,"Tuesday",H431=3,"Wednesday",H431=4,"Thursday",H431=5,"Friday",H431=6,"Saturday",H431=7,"Sunday")</f>
        <v>Wednesday</v>
      </c>
      <c r="C431" s="1">
        <f t="shared" si="36"/>
        <v>45719</v>
      </c>
      <c r="D431" s="1">
        <f t="shared" si="37"/>
        <v>45717</v>
      </c>
      <c r="E431" s="1" cm="1">
        <f t="array" ref="E431">DATE(YEAR(A431),_xlfn.IFS(MONTH(A431)&lt;=3,1,MONTH(A431)&lt;=6,4,MONTH(A431)&lt;=9,7,MONTH(A431)&lt;=12,10),1)</f>
        <v>45658</v>
      </c>
      <c r="F431" s="1">
        <f t="shared" si="38"/>
        <v>45658</v>
      </c>
      <c r="G431">
        <f t="shared" si="39"/>
        <v>3</v>
      </c>
      <c r="H431">
        <f t="shared" si="40"/>
        <v>3</v>
      </c>
      <c r="I431">
        <f t="shared" si="41"/>
        <v>10</v>
      </c>
      <c r="J431" t="str" cm="1">
        <f t="array" ref="J431">_xlfn.IFS(H431&lt;6,"Weekday",H431&gt;5,"Weekend")</f>
        <v>Weekday</v>
      </c>
    </row>
    <row r="432" spans="1:10" x14ac:dyDescent="0.25">
      <c r="A432" s="1">
        <v>45722</v>
      </c>
      <c r="B432" s="1" t="str" cm="1">
        <f t="array" ref="B432">_xlfn.IFS(H432=1,"Monday",H432=2,"Tuesday",H432=3,"Wednesday",H432=4,"Thursday",H432=5,"Friday",H432=6,"Saturday",H432=7,"Sunday")</f>
        <v>Thursday</v>
      </c>
      <c r="C432" s="1">
        <f t="shared" si="36"/>
        <v>45719</v>
      </c>
      <c r="D432" s="1">
        <f t="shared" si="37"/>
        <v>45717</v>
      </c>
      <c r="E432" s="1" cm="1">
        <f t="array" ref="E432">DATE(YEAR(A432),_xlfn.IFS(MONTH(A432)&lt;=3,1,MONTH(A432)&lt;=6,4,MONTH(A432)&lt;=9,7,MONTH(A432)&lt;=12,10),1)</f>
        <v>45658</v>
      </c>
      <c r="F432" s="1">
        <f t="shared" si="38"/>
        <v>45658</v>
      </c>
      <c r="G432">
        <f t="shared" si="39"/>
        <v>3</v>
      </c>
      <c r="H432">
        <f t="shared" si="40"/>
        <v>4</v>
      </c>
      <c r="I432">
        <f t="shared" si="41"/>
        <v>10</v>
      </c>
      <c r="J432" t="str" cm="1">
        <f t="array" ref="J432">_xlfn.IFS(H432&lt;6,"Weekday",H432&gt;5,"Weekend")</f>
        <v>Weekday</v>
      </c>
    </row>
    <row r="433" spans="1:10" x14ac:dyDescent="0.25">
      <c r="A433" s="1">
        <v>45723</v>
      </c>
      <c r="B433" s="1" t="str" cm="1">
        <f t="array" ref="B433">_xlfn.IFS(H433=1,"Monday",H433=2,"Tuesday",H433=3,"Wednesday",H433=4,"Thursday",H433=5,"Friday",H433=6,"Saturday",H433=7,"Sunday")</f>
        <v>Friday</v>
      </c>
      <c r="C433" s="1">
        <f t="shared" si="36"/>
        <v>45719</v>
      </c>
      <c r="D433" s="1">
        <f t="shared" si="37"/>
        <v>45717</v>
      </c>
      <c r="E433" s="1" cm="1">
        <f t="array" ref="E433">DATE(YEAR(A433),_xlfn.IFS(MONTH(A433)&lt;=3,1,MONTH(A433)&lt;=6,4,MONTH(A433)&lt;=9,7,MONTH(A433)&lt;=12,10),1)</f>
        <v>45658</v>
      </c>
      <c r="F433" s="1">
        <f t="shared" si="38"/>
        <v>45658</v>
      </c>
      <c r="G433">
        <f t="shared" si="39"/>
        <v>3</v>
      </c>
      <c r="H433">
        <f t="shared" si="40"/>
        <v>5</v>
      </c>
      <c r="I433">
        <f t="shared" si="41"/>
        <v>10</v>
      </c>
      <c r="J433" t="str" cm="1">
        <f t="array" ref="J433">_xlfn.IFS(H433&lt;6,"Weekday",H433&gt;5,"Weekend")</f>
        <v>Weekday</v>
      </c>
    </row>
    <row r="434" spans="1:10" x14ac:dyDescent="0.25">
      <c r="A434" s="1">
        <v>45724</v>
      </c>
      <c r="B434" s="1" t="str" cm="1">
        <f t="array" ref="B434">_xlfn.IFS(H434=1,"Monday",H434=2,"Tuesday",H434=3,"Wednesday",H434=4,"Thursday",H434=5,"Friday",H434=6,"Saturday",H434=7,"Sunday")</f>
        <v>Saturday</v>
      </c>
      <c r="C434" s="1">
        <f t="shared" si="36"/>
        <v>45719</v>
      </c>
      <c r="D434" s="1">
        <f t="shared" si="37"/>
        <v>45717</v>
      </c>
      <c r="E434" s="1" cm="1">
        <f t="array" ref="E434">DATE(YEAR(A434),_xlfn.IFS(MONTH(A434)&lt;=3,1,MONTH(A434)&lt;=6,4,MONTH(A434)&lt;=9,7,MONTH(A434)&lt;=12,10),1)</f>
        <v>45658</v>
      </c>
      <c r="F434" s="1">
        <f t="shared" si="38"/>
        <v>45658</v>
      </c>
      <c r="G434">
        <f t="shared" si="39"/>
        <v>3</v>
      </c>
      <c r="H434">
        <f t="shared" si="40"/>
        <v>6</v>
      </c>
      <c r="I434">
        <f t="shared" si="41"/>
        <v>10</v>
      </c>
      <c r="J434" t="str" cm="1">
        <f t="array" ref="J434">_xlfn.IFS(H434&lt;6,"Weekday",H434&gt;5,"Weekend")</f>
        <v>Weekend</v>
      </c>
    </row>
    <row r="435" spans="1:10" x14ac:dyDescent="0.25">
      <c r="A435" s="1">
        <v>45725</v>
      </c>
      <c r="B435" s="1" t="str" cm="1">
        <f t="array" ref="B435">_xlfn.IFS(H435=1,"Monday",H435=2,"Tuesday",H435=3,"Wednesday",H435=4,"Thursday",H435=5,"Friday",H435=6,"Saturday",H435=7,"Sunday")</f>
        <v>Sunday</v>
      </c>
      <c r="C435" s="1">
        <f t="shared" si="36"/>
        <v>45719</v>
      </c>
      <c r="D435" s="1">
        <f t="shared" si="37"/>
        <v>45717</v>
      </c>
      <c r="E435" s="1" cm="1">
        <f t="array" ref="E435">DATE(YEAR(A435),_xlfn.IFS(MONTH(A435)&lt;=3,1,MONTH(A435)&lt;=6,4,MONTH(A435)&lt;=9,7,MONTH(A435)&lt;=12,10),1)</f>
        <v>45658</v>
      </c>
      <c r="F435" s="1">
        <f t="shared" si="38"/>
        <v>45658</v>
      </c>
      <c r="G435">
        <f t="shared" si="39"/>
        <v>3</v>
      </c>
      <c r="H435">
        <f t="shared" si="40"/>
        <v>7</v>
      </c>
      <c r="I435">
        <f t="shared" si="41"/>
        <v>10</v>
      </c>
      <c r="J435" t="str" cm="1">
        <f t="array" ref="J435">_xlfn.IFS(H435&lt;6,"Weekday",H435&gt;5,"Weekend")</f>
        <v>Weekend</v>
      </c>
    </row>
    <row r="436" spans="1:10" x14ac:dyDescent="0.25">
      <c r="A436" s="1">
        <v>45726</v>
      </c>
      <c r="B436" s="1" t="str" cm="1">
        <f t="array" ref="B436">_xlfn.IFS(H436=1,"Monday",H436=2,"Tuesday",H436=3,"Wednesday",H436=4,"Thursday",H436=5,"Friday",H436=6,"Saturday",H436=7,"Sunday")</f>
        <v>Monday</v>
      </c>
      <c r="C436" s="1">
        <f t="shared" si="36"/>
        <v>45726</v>
      </c>
      <c r="D436" s="1">
        <f t="shared" si="37"/>
        <v>45717</v>
      </c>
      <c r="E436" s="1" cm="1">
        <f t="array" ref="E436">DATE(YEAR(A436),_xlfn.IFS(MONTH(A436)&lt;=3,1,MONTH(A436)&lt;=6,4,MONTH(A436)&lt;=9,7,MONTH(A436)&lt;=12,10),1)</f>
        <v>45658</v>
      </c>
      <c r="F436" s="1">
        <f t="shared" si="38"/>
        <v>45658</v>
      </c>
      <c r="G436">
        <f t="shared" si="39"/>
        <v>3</v>
      </c>
      <c r="H436">
        <f t="shared" si="40"/>
        <v>1</v>
      </c>
      <c r="I436">
        <f t="shared" si="41"/>
        <v>11</v>
      </c>
      <c r="J436" t="str" cm="1">
        <f t="array" ref="J436">_xlfn.IFS(H436&lt;6,"Weekday",H436&gt;5,"Weekend")</f>
        <v>Weekday</v>
      </c>
    </row>
    <row r="437" spans="1:10" x14ac:dyDescent="0.25">
      <c r="A437" s="1">
        <v>45727</v>
      </c>
      <c r="B437" s="1" t="str" cm="1">
        <f t="array" ref="B437">_xlfn.IFS(H437=1,"Monday",H437=2,"Tuesday",H437=3,"Wednesday",H437=4,"Thursday",H437=5,"Friday",H437=6,"Saturday",H437=7,"Sunday")</f>
        <v>Tuesday</v>
      </c>
      <c r="C437" s="1">
        <f t="shared" si="36"/>
        <v>45726</v>
      </c>
      <c r="D437" s="1">
        <f t="shared" si="37"/>
        <v>45717</v>
      </c>
      <c r="E437" s="1" cm="1">
        <f t="array" ref="E437">DATE(YEAR(A437),_xlfn.IFS(MONTH(A437)&lt;=3,1,MONTH(A437)&lt;=6,4,MONTH(A437)&lt;=9,7,MONTH(A437)&lt;=12,10),1)</f>
        <v>45658</v>
      </c>
      <c r="F437" s="1">
        <f t="shared" si="38"/>
        <v>45658</v>
      </c>
      <c r="G437">
        <f t="shared" si="39"/>
        <v>3</v>
      </c>
      <c r="H437">
        <f t="shared" si="40"/>
        <v>2</v>
      </c>
      <c r="I437">
        <f t="shared" si="41"/>
        <v>11</v>
      </c>
      <c r="J437" t="str" cm="1">
        <f t="array" ref="J437">_xlfn.IFS(H437&lt;6,"Weekday",H437&gt;5,"Weekend")</f>
        <v>Weekday</v>
      </c>
    </row>
    <row r="438" spans="1:10" x14ac:dyDescent="0.25">
      <c r="A438" s="1">
        <v>45728</v>
      </c>
      <c r="B438" s="1" t="str" cm="1">
        <f t="array" ref="B438">_xlfn.IFS(H438=1,"Monday",H438=2,"Tuesday",H438=3,"Wednesday",H438=4,"Thursday",H438=5,"Friday",H438=6,"Saturday",H438=7,"Sunday")</f>
        <v>Wednesday</v>
      </c>
      <c r="C438" s="1">
        <f t="shared" si="36"/>
        <v>45726</v>
      </c>
      <c r="D438" s="1">
        <f t="shared" si="37"/>
        <v>45717</v>
      </c>
      <c r="E438" s="1" cm="1">
        <f t="array" ref="E438">DATE(YEAR(A438),_xlfn.IFS(MONTH(A438)&lt;=3,1,MONTH(A438)&lt;=6,4,MONTH(A438)&lt;=9,7,MONTH(A438)&lt;=12,10),1)</f>
        <v>45658</v>
      </c>
      <c r="F438" s="1">
        <f t="shared" si="38"/>
        <v>45658</v>
      </c>
      <c r="G438">
        <f t="shared" si="39"/>
        <v>3</v>
      </c>
      <c r="H438">
        <f t="shared" si="40"/>
        <v>3</v>
      </c>
      <c r="I438">
        <f t="shared" si="41"/>
        <v>11</v>
      </c>
      <c r="J438" t="str" cm="1">
        <f t="array" ref="J438">_xlfn.IFS(H438&lt;6,"Weekday",H438&gt;5,"Weekend")</f>
        <v>Weekday</v>
      </c>
    </row>
    <row r="439" spans="1:10" x14ac:dyDescent="0.25">
      <c r="A439" s="1">
        <v>45729</v>
      </c>
      <c r="B439" s="1" t="str" cm="1">
        <f t="array" ref="B439">_xlfn.IFS(H439=1,"Monday",H439=2,"Tuesday",H439=3,"Wednesday",H439=4,"Thursday",H439=5,"Friday",H439=6,"Saturday",H439=7,"Sunday")</f>
        <v>Thursday</v>
      </c>
      <c r="C439" s="1">
        <f t="shared" si="36"/>
        <v>45726</v>
      </c>
      <c r="D439" s="1">
        <f t="shared" si="37"/>
        <v>45717</v>
      </c>
      <c r="E439" s="1" cm="1">
        <f t="array" ref="E439">DATE(YEAR(A439),_xlfn.IFS(MONTH(A439)&lt;=3,1,MONTH(A439)&lt;=6,4,MONTH(A439)&lt;=9,7,MONTH(A439)&lt;=12,10),1)</f>
        <v>45658</v>
      </c>
      <c r="F439" s="1">
        <f t="shared" si="38"/>
        <v>45658</v>
      </c>
      <c r="G439">
        <f t="shared" si="39"/>
        <v>3</v>
      </c>
      <c r="H439">
        <f t="shared" si="40"/>
        <v>4</v>
      </c>
      <c r="I439">
        <f t="shared" si="41"/>
        <v>11</v>
      </c>
      <c r="J439" t="str" cm="1">
        <f t="array" ref="J439">_xlfn.IFS(H439&lt;6,"Weekday",H439&gt;5,"Weekend")</f>
        <v>Weekday</v>
      </c>
    </row>
    <row r="440" spans="1:10" x14ac:dyDescent="0.25">
      <c r="A440" s="1">
        <v>45730</v>
      </c>
      <c r="B440" s="1" t="str" cm="1">
        <f t="array" ref="B440">_xlfn.IFS(H440=1,"Monday",H440=2,"Tuesday",H440=3,"Wednesday",H440=4,"Thursday",H440=5,"Friday",H440=6,"Saturday",H440=7,"Sunday")</f>
        <v>Friday</v>
      </c>
      <c r="C440" s="1">
        <f t="shared" si="36"/>
        <v>45726</v>
      </c>
      <c r="D440" s="1">
        <f t="shared" si="37"/>
        <v>45717</v>
      </c>
      <c r="E440" s="1" cm="1">
        <f t="array" ref="E440">DATE(YEAR(A440),_xlfn.IFS(MONTH(A440)&lt;=3,1,MONTH(A440)&lt;=6,4,MONTH(A440)&lt;=9,7,MONTH(A440)&lt;=12,10),1)</f>
        <v>45658</v>
      </c>
      <c r="F440" s="1">
        <f t="shared" si="38"/>
        <v>45658</v>
      </c>
      <c r="G440">
        <f t="shared" si="39"/>
        <v>3</v>
      </c>
      <c r="H440">
        <f t="shared" si="40"/>
        <v>5</v>
      </c>
      <c r="I440">
        <f t="shared" si="41"/>
        <v>11</v>
      </c>
      <c r="J440" t="str" cm="1">
        <f t="array" ref="J440">_xlfn.IFS(H440&lt;6,"Weekday",H440&gt;5,"Weekend")</f>
        <v>Weekday</v>
      </c>
    </row>
    <row r="441" spans="1:10" x14ac:dyDescent="0.25">
      <c r="A441" s="1">
        <v>45731</v>
      </c>
      <c r="B441" s="1" t="str" cm="1">
        <f t="array" ref="B441">_xlfn.IFS(H441=1,"Monday",H441=2,"Tuesday",H441=3,"Wednesday",H441=4,"Thursday",H441=5,"Friday",H441=6,"Saturday",H441=7,"Sunday")</f>
        <v>Saturday</v>
      </c>
      <c r="C441" s="1">
        <f t="shared" si="36"/>
        <v>45726</v>
      </c>
      <c r="D441" s="1">
        <f t="shared" si="37"/>
        <v>45717</v>
      </c>
      <c r="E441" s="1" cm="1">
        <f t="array" ref="E441">DATE(YEAR(A441),_xlfn.IFS(MONTH(A441)&lt;=3,1,MONTH(A441)&lt;=6,4,MONTH(A441)&lt;=9,7,MONTH(A441)&lt;=12,10),1)</f>
        <v>45658</v>
      </c>
      <c r="F441" s="1">
        <f t="shared" si="38"/>
        <v>45658</v>
      </c>
      <c r="G441">
        <f t="shared" si="39"/>
        <v>3</v>
      </c>
      <c r="H441">
        <f t="shared" si="40"/>
        <v>6</v>
      </c>
      <c r="I441">
        <f t="shared" si="41"/>
        <v>11</v>
      </c>
      <c r="J441" t="str" cm="1">
        <f t="array" ref="J441">_xlfn.IFS(H441&lt;6,"Weekday",H441&gt;5,"Weekend")</f>
        <v>Weekend</v>
      </c>
    </row>
    <row r="442" spans="1:10" x14ac:dyDescent="0.25">
      <c r="A442" s="1">
        <v>45732</v>
      </c>
      <c r="B442" s="1" t="str" cm="1">
        <f t="array" ref="B442">_xlfn.IFS(H442=1,"Monday",H442=2,"Tuesday",H442=3,"Wednesday",H442=4,"Thursday",H442=5,"Friday",H442=6,"Saturday",H442=7,"Sunday")</f>
        <v>Sunday</v>
      </c>
      <c r="C442" s="1">
        <f t="shared" si="36"/>
        <v>45726</v>
      </c>
      <c r="D442" s="1">
        <f t="shared" si="37"/>
        <v>45717</v>
      </c>
      <c r="E442" s="1" cm="1">
        <f t="array" ref="E442">DATE(YEAR(A442),_xlfn.IFS(MONTH(A442)&lt;=3,1,MONTH(A442)&lt;=6,4,MONTH(A442)&lt;=9,7,MONTH(A442)&lt;=12,10),1)</f>
        <v>45658</v>
      </c>
      <c r="F442" s="1">
        <f t="shared" si="38"/>
        <v>45658</v>
      </c>
      <c r="G442">
        <f t="shared" si="39"/>
        <v>3</v>
      </c>
      <c r="H442">
        <f t="shared" si="40"/>
        <v>7</v>
      </c>
      <c r="I442">
        <f t="shared" si="41"/>
        <v>11</v>
      </c>
      <c r="J442" t="str" cm="1">
        <f t="array" ref="J442">_xlfn.IFS(H442&lt;6,"Weekday",H442&gt;5,"Weekend")</f>
        <v>Weekend</v>
      </c>
    </row>
    <row r="443" spans="1:10" x14ac:dyDescent="0.25">
      <c r="A443" s="1">
        <v>45733</v>
      </c>
      <c r="B443" s="1" t="str" cm="1">
        <f t="array" ref="B443">_xlfn.IFS(H443=1,"Monday",H443=2,"Tuesday",H443=3,"Wednesday",H443=4,"Thursday",H443=5,"Friday",H443=6,"Saturday",H443=7,"Sunday")</f>
        <v>Monday</v>
      </c>
      <c r="C443" s="1">
        <f t="shared" si="36"/>
        <v>45733</v>
      </c>
      <c r="D443" s="1">
        <f t="shared" si="37"/>
        <v>45717</v>
      </c>
      <c r="E443" s="1" cm="1">
        <f t="array" ref="E443">DATE(YEAR(A443),_xlfn.IFS(MONTH(A443)&lt;=3,1,MONTH(A443)&lt;=6,4,MONTH(A443)&lt;=9,7,MONTH(A443)&lt;=12,10),1)</f>
        <v>45658</v>
      </c>
      <c r="F443" s="1">
        <f t="shared" si="38"/>
        <v>45658</v>
      </c>
      <c r="G443">
        <f t="shared" si="39"/>
        <v>3</v>
      </c>
      <c r="H443">
        <f t="shared" si="40"/>
        <v>1</v>
      </c>
      <c r="I443">
        <f t="shared" si="41"/>
        <v>12</v>
      </c>
      <c r="J443" t="str" cm="1">
        <f t="array" ref="J443">_xlfn.IFS(H443&lt;6,"Weekday",H443&gt;5,"Weekend")</f>
        <v>Weekday</v>
      </c>
    </row>
    <row r="444" spans="1:10" x14ac:dyDescent="0.25">
      <c r="A444" s="1">
        <v>45734</v>
      </c>
      <c r="B444" s="1" t="str" cm="1">
        <f t="array" ref="B444">_xlfn.IFS(H444=1,"Monday",H444=2,"Tuesday",H444=3,"Wednesday",H444=4,"Thursday",H444=5,"Friday",H444=6,"Saturday",H444=7,"Sunday")</f>
        <v>Tuesday</v>
      </c>
      <c r="C444" s="1">
        <f t="shared" si="36"/>
        <v>45733</v>
      </c>
      <c r="D444" s="1">
        <f t="shared" si="37"/>
        <v>45717</v>
      </c>
      <c r="E444" s="1" cm="1">
        <f t="array" ref="E444">DATE(YEAR(A444),_xlfn.IFS(MONTH(A444)&lt;=3,1,MONTH(A444)&lt;=6,4,MONTH(A444)&lt;=9,7,MONTH(A444)&lt;=12,10),1)</f>
        <v>45658</v>
      </c>
      <c r="F444" s="1">
        <f t="shared" si="38"/>
        <v>45658</v>
      </c>
      <c r="G444">
        <f t="shared" si="39"/>
        <v>3</v>
      </c>
      <c r="H444">
        <f t="shared" si="40"/>
        <v>2</v>
      </c>
      <c r="I444">
        <f t="shared" si="41"/>
        <v>12</v>
      </c>
      <c r="J444" t="str" cm="1">
        <f t="array" ref="J444">_xlfn.IFS(H444&lt;6,"Weekday",H444&gt;5,"Weekend")</f>
        <v>Weekday</v>
      </c>
    </row>
    <row r="445" spans="1:10" x14ac:dyDescent="0.25">
      <c r="A445" s="1">
        <v>45735</v>
      </c>
      <c r="B445" s="1" t="str" cm="1">
        <f t="array" ref="B445">_xlfn.IFS(H445=1,"Monday",H445=2,"Tuesday",H445=3,"Wednesday",H445=4,"Thursday",H445=5,"Friday",H445=6,"Saturday",H445=7,"Sunday")</f>
        <v>Wednesday</v>
      </c>
      <c r="C445" s="1">
        <f t="shared" si="36"/>
        <v>45733</v>
      </c>
      <c r="D445" s="1">
        <f t="shared" si="37"/>
        <v>45717</v>
      </c>
      <c r="E445" s="1" cm="1">
        <f t="array" ref="E445">DATE(YEAR(A445),_xlfn.IFS(MONTH(A445)&lt;=3,1,MONTH(A445)&lt;=6,4,MONTH(A445)&lt;=9,7,MONTH(A445)&lt;=12,10),1)</f>
        <v>45658</v>
      </c>
      <c r="F445" s="1">
        <f t="shared" si="38"/>
        <v>45658</v>
      </c>
      <c r="G445">
        <f t="shared" si="39"/>
        <v>3</v>
      </c>
      <c r="H445">
        <f t="shared" si="40"/>
        <v>3</v>
      </c>
      <c r="I445">
        <f t="shared" si="41"/>
        <v>12</v>
      </c>
      <c r="J445" t="str" cm="1">
        <f t="array" ref="J445">_xlfn.IFS(H445&lt;6,"Weekday",H445&gt;5,"Weekend")</f>
        <v>Weekday</v>
      </c>
    </row>
    <row r="446" spans="1:10" x14ac:dyDescent="0.25">
      <c r="A446" s="1">
        <v>45736</v>
      </c>
      <c r="B446" s="1" t="str" cm="1">
        <f t="array" ref="B446">_xlfn.IFS(H446=1,"Monday",H446=2,"Tuesday",H446=3,"Wednesday",H446=4,"Thursday",H446=5,"Friday",H446=6,"Saturday",H446=7,"Sunday")</f>
        <v>Thursday</v>
      </c>
      <c r="C446" s="1">
        <f t="shared" si="36"/>
        <v>45733</v>
      </c>
      <c r="D446" s="1">
        <f t="shared" si="37"/>
        <v>45717</v>
      </c>
      <c r="E446" s="1" cm="1">
        <f t="array" ref="E446">DATE(YEAR(A446),_xlfn.IFS(MONTH(A446)&lt;=3,1,MONTH(A446)&lt;=6,4,MONTH(A446)&lt;=9,7,MONTH(A446)&lt;=12,10),1)</f>
        <v>45658</v>
      </c>
      <c r="F446" s="1">
        <f t="shared" si="38"/>
        <v>45658</v>
      </c>
      <c r="G446">
        <f t="shared" si="39"/>
        <v>3</v>
      </c>
      <c r="H446">
        <f t="shared" si="40"/>
        <v>4</v>
      </c>
      <c r="I446">
        <f t="shared" si="41"/>
        <v>12</v>
      </c>
      <c r="J446" t="str" cm="1">
        <f t="array" ref="J446">_xlfn.IFS(H446&lt;6,"Weekday",H446&gt;5,"Weekend")</f>
        <v>Weekday</v>
      </c>
    </row>
    <row r="447" spans="1:10" x14ac:dyDescent="0.25">
      <c r="A447" s="1">
        <v>45737</v>
      </c>
      <c r="B447" s="1" t="str" cm="1">
        <f t="array" ref="B447">_xlfn.IFS(H447=1,"Monday",H447=2,"Tuesday",H447=3,"Wednesday",H447=4,"Thursday",H447=5,"Friday",H447=6,"Saturday",H447=7,"Sunday")</f>
        <v>Friday</v>
      </c>
      <c r="C447" s="1">
        <f t="shared" si="36"/>
        <v>45733</v>
      </c>
      <c r="D447" s="1">
        <f t="shared" si="37"/>
        <v>45717</v>
      </c>
      <c r="E447" s="1" cm="1">
        <f t="array" ref="E447">DATE(YEAR(A447),_xlfn.IFS(MONTH(A447)&lt;=3,1,MONTH(A447)&lt;=6,4,MONTH(A447)&lt;=9,7,MONTH(A447)&lt;=12,10),1)</f>
        <v>45658</v>
      </c>
      <c r="F447" s="1">
        <f t="shared" si="38"/>
        <v>45658</v>
      </c>
      <c r="G447">
        <f t="shared" si="39"/>
        <v>3</v>
      </c>
      <c r="H447">
        <f t="shared" si="40"/>
        <v>5</v>
      </c>
      <c r="I447">
        <f t="shared" si="41"/>
        <v>12</v>
      </c>
      <c r="J447" t="str" cm="1">
        <f t="array" ref="J447">_xlfn.IFS(H447&lt;6,"Weekday",H447&gt;5,"Weekend")</f>
        <v>Weekday</v>
      </c>
    </row>
    <row r="448" spans="1:10" x14ac:dyDescent="0.25">
      <c r="A448" s="1">
        <v>45738</v>
      </c>
      <c r="B448" s="1" t="str" cm="1">
        <f t="array" ref="B448">_xlfn.IFS(H448=1,"Monday",H448=2,"Tuesday",H448=3,"Wednesday",H448=4,"Thursday",H448=5,"Friday",H448=6,"Saturday",H448=7,"Sunday")</f>
        <v>Saturday</v>
      </c>
      <c r="C448" s="1">
        <f t="shared" si="36"/>
        <v>45733</v>
      </c>
      <c r="D448" s="1">
        <f t="shared" si="37"/>
        <v>45717</v>
      </c>
      <c r="E448" s="1" cm="1">
        <f t="array" ref="E448">DATE(YEAR(A448),_xlfn.IFS(MONTH(A448)&lt;=3,1,MONTH(A448)&lt;=6,4,MONTH(A448)&lt;=9,7,MONTH(A448)&lt;=12,10),1)</f>
        <v>45658</v>
      </c>
      <c r="F448" s="1">
        <f t="shared" si="38"/>
        <v>45658</v>
      </c>
      <c r="G448">
        <f t="shared" si="39"/>
        <v>3</v>
      </c>
      <c r="H448">
        <f t="shared" si="40"/>
        <v>6</v>
      </c>
      <c r="I448">
        <f t="shared" si="41"/>
        <v>12</v>
      </c>
      <c r="J448" t="str" cm="1">
        <f t="array" ref="J448">_xlfn.IFS(H448&lt;6,"Weekday",H448&gt;5,"Weekend")</f>
        <v>Weekend</v>
      </c>
    </row>
    <row r="449" spans="1:10" x14ac:dyDescent="0.25">
      <c r="A449" s="1">
        <v>45739</v>
      </c>
      <c r="B449" s="1" t="str" cm="1">
        <f t="array" ref="B449">_xlfn.IFS(H449=1,"Monday",H449=2,"Tuesday",H449=3,"Wednesday",H449=4,"Thursday",H449=5,"Friday",H449=6,"Saturday",H449=7,"Sunday")</f>
        <v>Sunday</v>
      </c>
      <c r="C449" s="1">
        <f t="shared" si="36"/>
        <v>45733</v>
      </c>
      <c r="D449" s="1">
        <f t="shared" si="37"/>
        <v>45717</v>
      </c>
      <c r="E449" s="1" cm="1">
        <f t="array" ref="E449">DATE(YEAR(A449),_xlfn.IFS(MONTH(A449)&lt;=3,1,MONTH(A449)&lt;=6,4,MONTH(A449)&lt;=9,7,MONTH(A449)&lt;=12,10),1)</f>
        <v>45658</v>
      </c>
      <c r="F449" s="1">
        <f t="shared" si="38"/>
        <v>45658</v>
      </c>
      <c r="G449">
        <f t="shared" si="39"/>
        <v>3</v>
      </c>
      <c r="H449">
        <f t="shared" si="40"/>
        <v>7</v>
      </c>
      <c r="I449">
        <f t="shared" si="41"/>
        <v>12</v>
      </c>
      <c r="J449" t="str" cm="1">
        <f t="array" ref="J449">_xlfn.IFS(H449&lt;6,"Weekday",H449&gt;5,"Weekend")</f>
        <v>Weekend</v>
      </c>
    </row>
    <row r="450" spans="1:10" x14ac:dyDescent="0.25">
      <c r="A450" s="1">
        <v>45740</v>
      </c>
      <c r="B450" s="1" t="str" cm="1">
        <f t="array" ref="B450">_xlfn.IFS(H450=1,"Monday",H450=2,"Tuesday",H450=3,"Wednesday",H450=4,"Thursday",H450=5,"Friday",H450=6,"Saturday",H450=7,"Sunday")</f>
        <v>Monday</v>
      </c>
      <c r="C450" s="1">
        <f t="shared" ref="C450:C508" si="42">A450-WEEKDAY(A450,2)+1</f>
        <v>45740</v>
      </c>
      <c r="D450" s="1">
        <f t="shared" ref="D450:D508" si="43">DATE(YEAR(A450),MONTH(A450),1)</f>
        <v>45717</v>
      </c>
      <c r="E450" s="1" cm="1">
        <f t="array" ref="E450">DATE(YEAR(A450),_xlfn.IFS(MONTH(A450)&lt;=3,1,MONTH(A450)&lt;=6,4,MONTH(A450)&lt;=9,7,MONTH(A450)&lt;=12,10),1)</f>
        <v>45658</v>
      </c>
      <c r="F450" s="1">
        <f t="shared" ref="F450:F508" si="44">DATE(YEAR(A450),1,1)</f>
        <v>45658</v>
      </c>
      <c r="G450">
        <f t="shared" ref="G450:G508" si="45">MONTH(A450)</f>
        <v>3</v>
      </c>
      <c r="H450">
        <f t="shared" ref="H450:H508" si="46">WEEKDAY(A450,2)</f>
        <v>1</v>
      </c>
      <c r="I450">
        <f t="shared" ref="I450:I508" si="47">_xlfn.ISOWEEKNUM(A450)</f>
        <v>13</v>
      </c>
      <c r="J450" t="str" cm="1">
        <f t="array" ref="J450">_xlfn.IFS(H450&lt;6,"Weekday",H450&gt;5,"Weekend")</f>
        <v>Weekday</v>
      </c>
    </row>
    <row r="451" spans="1:10" x14ac:dyDescent="0.25">
      <c r="A451" s="1">
        <v>45741</v>
      </c>
      <c r="B451" s="1" t="str" cm="1">
        <f t="array" ref="B451">_xlfn.IFS(H451=1,"Monday",H451=2,"Tuesday",H451=3,"Wednesday",H451=4,"Thursday",H451=5,"Friday",H451=6,"Saturday",H451=7,"Sunday")</f>
        <v>Tuesday</v>
      </c>
      <c r="C451" s="1">
        <f t="shared" si="42"/>
        <v>45740</v>
      </c>
      <c r="D451" s="1">
        <f t="shared" si="43"/>
        <v>45717</v>
      </c>
      <c r="E451" s="1" cm="1">
        <f t="array" ref="E451">DATE(YEAR(A451),_xlfn.IFS(MONTH(A451)&lt;=3,1,MONTH(A451)&lt;=6,4,MONTH(A451)&lt;=9,7,MONTH(A451)&lt;=12,10),1)</f>
        <v>45658</v>
      </c>
      <c r="F451" s="1">
        <f t="shared" si="44"/>
        <v>45658</v>
      </c>
      <c r="G451">
        <f t="shared" si="45"/>
        <v>3</v>
      </c>
      <c r="H451">
        <f t="shared" si="46"/>
        <v>2</v>
      </c>
      <c r="I451">
        <f t="shared" si="47"/>
        <v>13</v>
      </c>
      <c r="J451" t="str" cm="1">
        <f t="array" ref="J451">_xlfn.IFS(H451&lt;6,"Weekday",H451&gt;5,"Weekend")</f>
        <v>Weekday</v>
      </c>
    </row>
    <row r="452" spans="1:10" x14ac:dyDescent="0.25">
      <c r="A452" s="1">
        <v>45742</v>
      </c>
      <c r="B452" s="1" t="str" cm="1">
        <f t="array" ref="B452">_xlfn.IFS(H452=1,"Monday",H452=2,"Tuesday",H452=3,"Wednesday",H452=4,"Thursday",H452=5,"Friday",H452=6,"Saturday",H452=7,"Sunday")</f>
        <v>Wednesday</v>
      </c>
      <c r="C452" s="1">
        <f t="shared" si="42"/>
        <v>45740</v>
      </c>
      <c r="D452" s="1">
        <f t="shared" si="43"/>
        <v>45717</v>
      </c>
      <c r="E452" s="1" cm="1">
        <f t="array" ref="E452">DATE(YEAR(A452),_xlfn.IFS(MONTH(A452)&lt;=3,1,MONTH(A452)&lt;=6,4,MONTH(A452)&lt;=9,7,MONTH(A452)&lt;=12,10),1)</f>
        <v>45658</v>
      </c>
      <c r="F452" s="1">
        <f t="shared" si="44"/>
        <v>45658</v>
      </c>
      <c r="G452">
        <f t="shared" si="45"/>
        <v>3</v>
      </c>
      <c r="H452">
        <f t="shared" si="46"/>
        <v>3</v>
      </c>
      <c r="I452">
        <f t="shared" si="47"/>
        <v>13</v>
      </c>
      <c r="J452" t="str" cm="1">
        <f t="array" ref="J452">_xlfn.IFS(H452&lt;6,"Weekday",H452&gt;5,"Weekend")</f>
        <v>Weekday</v>
      </c>
    </row>
    <row r="453" spans="1:10" x14ac:dyDescent="0.25">
      <c r="A453" s="1">
        <v>45743</v>
      </c>
      <c r="B453" s="1" t="str" cm="1">
        <f t="array" ref="B453">_xlfn.IFS(H453=1,"Monday",H453=2,"Tuesday",H453=3,"Wednesday",H453=4,"Thursday",H453=5,"Friday",H453=6,"Saturday",H453=7,"Sunday")</f>
        <v>Thursday</v>
      </c>
      <c r="C453" s="1">
        <f t="shared" si="42"/>
        <v>45740</v>
      </c>
      <c r="D453" s="1">
        <f t="shared" si="43"/>
        <v>45717</v>
      </c>
      <c r="E453" s="1" cm="1">
        <f t="array" ref="E453">DATE(YEAR(A453),_xlfn.IFS(MONTH(A453)&lt;=3,1,MONTH(A453)&lt;=6,4,MONTH(A453)&lt;=9,7,MONTH(A453)&lt;=12,10),1)</f>
        <v>45658</v>
      </c>
      <c r="F453" s="1">
        <f t="shared" si="44"/>
        <v>45658</v>
      </c>
      <c r="G453">
        <f t="shared" si="45"/>
        <v>3</v>
      </c>
      <c r="H453">
        <f t="shared" si="46"/>
        <v>4</v>
      </c>
      <c r="I453">
        <f t="shared" si="47"/>
        <v>13</v>
      </c>
      <c r="J453" t="str" cm="1">
        <f t="array" ref="J453">_xlfn.IFS(H453&lt;6,"Weekday",H453&gt;5,"Weekend")</f>
        <v>Weekday</v>
      </c>
    </row>
    <row r="454" spans="1:10" x14ac:dyDescent="0.25">
      <c r="A454" s="1">
        <v>45744</v>
      </c>
      <c r="B454" s="1" t="str" cm="1">
        <f t="array" ref="B454">_xlfn.IFS(H454=1,"Monday",H454=2,"Tuesday",H454=3,"Wednesday",H454=4,"Thursday",H454=5,"Friday",H454=6,"Saturday",H454=7,"Sunday")</f>
        <v>Friday</v>
      </c>
      <c r="C454" s="1">
        <f t="shared" si="42"/>
        <v>45740</v>
      </c>
      <c r="D454" s="1">
        <f t="shared" si="43"/>
        <v>45717</v>
      </c>
      <c r="E454" s="1" cm="1">
        <f t="array" ref="E454">DATE(YEAR(A454),_xlfn.IFS(MONTH(A454)&lt;=3,1,MONTH(A454)&lt;=6,4,MONTH(A454)&lt;=9,7,MONTH(A454)&lt;=12,10),1)</f>
        <v>45658</v>
      </c>
      <c r="F454" s="1">
        <f t="shared" si="44"/>
        <v>45658</v>
      </c>
      <c r="G454">
        <f t="shared" si="45"/>
        <v>3</v>
      </c>
      <c r="H454">
        <f t="shared" si="46"/>
        <v>5</v>
      </c>
      <c r="I454">
        <f t="shared" si="47"/>
        <v>13</v>
      </c>
      <c r="J454" t="str" cm="1">
        <f t="array" ref="J454">_xlfn.IFS(H454&lt;6,"Weekday",H454&gt;5,"Weekend")</f>
        <v>Weekday</v>
      </c>
    </row>
    <row r="455" spans="1:10" x14ac:dyDescent="0.25">
      <c r="A455" s="1">
        <v>45745</v>
      </c>
      <c r="B455" s="1" t="str" cm="1">
        <f t="array" ref="B455">_xlfn.IFS(H455=1,"Monday",H455=2,"Tuesday",H455=3,"Wednesday",H455=4,"Thursday",H455=5,"Friday",H455=6,"Saturday",H455=7,"Sunday")</f>
        <v>Saturday</v>
      </c>
      <c r="C455" s="1">
        <f t="shared" si="42"/>
        <v>45740</v>
      </c>
      <c r="D455" s="1">
        <f t="shared" si="43"/>
        <v>45717</v>
      </c>
      <c r="E455" s="1" cm="1">
        <f t="array" ref="E455">DATE(YEAR(A455),_xlfn.IFS(MONTH(A455)&lt;=3,1,MONTH(A455)&lt;=6,4,MONTH(A455)&lt;=9,7,MONTH(A455)&lt;=12,10),1)</f>
        <v>45658</v>
      </c>
      <c r="F455" s="1">
        <f t="shared" si="44"/>
        <v>45658</v>
      </c>
      <c r="G455">
        <f t="shared" si="45"/>
        <v>3</v>
      </c>
      <c r="H455">
        <f t="shared" si="46"/>
        <v>6</v>
      </c>
      <c r="I455">
        <f t="shared" si="47"/>
        <v>13</v>
      </c>
      <c r="J455" t="str" cm="1">
        <f t="array" ref="J455">_xlfn.IFS(H455&lt;6,"Weekday",H455&gt;5,"Weekend")</f>
        <v>Weekend</v>
      </c>
    </row>
    <row r="456" spans="1:10" x14ac:dyDescent="0.25">
      <c r="A456" s="1">
        <v>45746</v>
      </c>
      <c r="B456" s="1" t="str" cm="1">
        <f t="array" ref="B456">_xlfn.IFS(H456=1,"Monday",H456=2,"Tuesday",H456=3,"Wednesday",H456=4,"Thursday",H456=5,"Friday",H456=6,"Saturday",H456=7,"Sunday")</f>
        <v>Sunday</v>
      </c>
      <c r="C456" s="1">
        <f t="shared" si="42"/>
        <v>45740</v>
      </c>
      <c r="D456" s="1">
        <f t="shared" si="43"/>
        <v>45717</v>
      </c>
      <c r="E456" s="1" cm="1">
        <f t="array" ref="E456">DATE(YEAR(A456),_xlfn.IFS(MONTH(A456)&lt;=3,1,MONTH(A456)&lt;=6,4,MONTH(A456)&lt;=9,7,MONTH(A456)&lt;=12,10),1)</f>
        <v>45658</v>
      </c>
      <c r="F456" s="1">
        <f t="shared" si="44"/>
        <v>45658</v>
      </c>
      <c r="G456">
        <f t="shared" si="45"/>
        <v>3</v>
      </c>
      <c r="H456">
        <f t="shared" si="46"/>
        <v>7</v>
      </c>
      <c r="I456">
        <f t="shared" si="47"/>
        <v>13</v>
      </c>
      <c r="J456" t="str" cm="1">
        <f t="array" ref="J456">_xlfn.IFS(H456&lt;6,"Weekday",H456&gt;5,"Weekend")</f>
        <v>Weekend</v>
      </c>
    </row>
    <row r="457" spans="1:10" x14ac:dyDescent="0.25">
      <c r="A457" s="1">
        <v>45747</v>
      </c>
      <c r="B457" s="1" t="str" cm="1">
        <f t="array" ref="B457">_xlfn.IFS(H457=1,"Monday",H457=2,"Tuesday",H457=3,"Wednesday",H457=4,"Thursday",H457=5,"Friday",H457=6,"Saturday",H457=7,"Sunday")</f>
        <v>Monday</v>
      </c>
      <c r="C457" s="1">
        <f t="shared" si="42"/>
        <v>45747</v>
      </c>
      <c r="D457" s="1">
        <f t="shared" si="43"/>
        <v>45717</v>
      </c>
      <c r="E457" s="1" cm="1">
        <f t="array" ref="E457">DATE(YEAR(A457),_xlfn.IFS(MONTH(A457)&lt;=3,1,MONTH(A457)&lt;=6,4,MONTH(A457)&lt;=9,7,MONTH(A457)&lt;=12,10),1)</f>
        <v>45658</v>
      </c>
      <c r="F457" s="1">
        <f t="shared" si="44"/>
        <v>45658</v>
      </c>
      <c r="G457">
        <f t="shared" si="45"/>
        <v>3</v>
      </c>
      <c r="H457">
        <f t="shared" si="46"/>
        <v>1</v>
      </c>
      <c r="I457">
        <f t="shared" si="47"/>
        <v>14</v>
      </c>
      <c r="J457" t="str" cm="1">
        <f t="array" ref="J457">_xlfn.IFS(H457&lt;6,"Weekday",H457&gt;5,"Weekend")</f>
        <v>Weekday</v>
      </c>
    </row>
    <row r="458" spans="1:10" x14ac:dyDescent="0.25">
      <c r="A458" s="1">
        <v>45748</v>
      </c>
      <c r="B458" s="1" t="str" cm="1">
        <f t="array" ref="B458">_xlfn.IFS(H458=1,"Monday",H458=2,"Tuesday",H458=3,"Wednesday",H458=4,"Thursday",H458=5,"Friday",H458=6,"Saturday",H458=7,"Sunday")</f>
        <v>Tuesday</v>
      </c>
      <c r="C458" s="1">
        <f t="shared" si="42"/>
        <v>45747</v>
      </c>
      <c r="D458" s="1">
        <f t="shared" si="43"/>
        <v>45748</v>
      </c>
      <c r="E458" s="1" cm="1">
        <f t="array" ref="E458">DATE(YEAR(A458),_xlfn.IFS(MONTH(A458)&lt;=3,1,MONTH(A458)&lt;=6,4,MONTH(A458)&lt;=9,7,MONTH(A458)&lt;=12,10),1)</f>
        <v>45748</v>
      </c>
      <c r="F458" s="1">
        <f t="shared" si="44"/>
        <v>45658</v>
      </c>
      <c r="G458">
        <f t="shared" si="45"/>
        <v>4</v>
      </c>
      <c r="H458">
        <f t="shared" si="46"/>
        <v>2</v>
      </c>
      <c r="I458">
        <f t="shared" si="47"/>
        <v>14</v>
      </c>
      <c r="J458" t="str" cm="1">
        <f t="array" ref="J458">_xlfn.IFS(H458&lt;6,"Weekday",H458&gt;5,"Weekend")</f>
        <v>Weekday</v>
      </c>
    </row>
    <row r="459" spans="1:10" x14ac:dyDescent="0.25">
      <c r="A459" s="1">
        <v>45749</v>
      </c>
      <c r="B459" s="1" t="str" cm="1">
        <f t="array" ref="B459">_xlfn.IFS(H459=1,"Monday",H459=2,"Tuesday",H459=3,"Wednesday",H459=4,"Thursday",H459=5,"Friday",H459=6,"Saturday",H459=7,"Sunday")</f>
        <v>Wednesday</v>
      </c>
      <c r="C459" s="1">
        <f t="shared" si="42"/>
        <v>45747</v>
      </c>
      <c r="D459" s="1">
        <f t="shared" si="43"/>
        <v>45748</v>
      </c>
      <c r="E459" s="1" cm="1">
        <f t="array" ref="E459">DATE(YEAR(A459),_xlfn.IFS(MONTH(A459)&lt;=3,1,MONTH(A459)&lt;=6,4,MONTH(A459)&lt;=9,7,MONTH(A459)&lt;=12,10),1)</f>
        <v>45748</v>
      </c>
      <c r="F459" s="1">
        <f t="shared" si="44"/>
        <v>45658</v>
      </c>
      <c r="G459">
        <f t="shared" si="45"/>
        <v>4</v>
      </c>
      <c r="H459">
        <f t="shared" si="46"/>
        <v>3</v>
      </c>
      <c r="I459">
        <f t="shared" si="47"/>
        <v>14</v>
      </c>
      <c r="J459" t="str" cm="1">
        <f t="array" ref="J459">_xlfn.IFS(H459&lt;6,"Weekday",H459&gt;5,"Weekend")</f>
        <v>Weekday</v>
      </c>
    </row>
    <row r="460" spans="1:10" x14ac:dyDescent="0.25">
      <c r="A460" s="1">
        <v>45750</v>
      </c>
      <c r="B460" s="1" t="str" cm="1">
        <f t="array" ref="B460">_xlfn.IFS(H460=1,"Monday",H460=2,"Tuesday",H460=3,"Wednesday",H460=4,"Thursday",H460=5,"Friday",H460=6,"Saturday",H460=7,"Sunday")</f>
        <v>Thursday</v>
      </c>
      <c r="C460" s="1">
        <f t="shared" si="42"/>
        <v>45747</v>
      </c>
      <c r="D460" s="1">
        <f t="shared" si="43"/>
        <v>45748</v>
      </c>
      <c r="E460" s="1" cm="1">
        <f t="array" ref="E460">DATE(YEAR(A460),_xlfn.IFS(MONTH(A460)&lt;=3,1,MONTH(A460)&lt;=6,4,MONTH(A460)&lt;=9,7,MONTH(A460)&lt;=12,10),1)</f>
        <v>45748</v>
      </c>
      <c r="F460" s="1">
        <f t="shared" si="44"/>
        <v>45658</v>
      </c>
      <c r="G460">
        <f t="shared" si="45"/>
        <v>4</v>
      </c>
      <c r="H460">
        <f t="shared" si="46"/>
        <v>4</v>
      </c>
      <c r="I460">
        <f t="shared" si="47"/>
        <v>14</v>
      </c>
      <c r="J460" t="str" cm="1">
        <f t="array" ref="J460">_xlfn.IFS(H460&lt;6,"Weekday",H460&gt;5,"Weekend")</f>
        <v>Weekday</v>
      </c>
    </row>
    <row r="461" spans="1:10" x14ac:dyDescent="0.25">
      <c r="A461" s="1">
        <v>45751</v>
      </c>
      <c r="B461" s="1" t="str" cm="1">
        <f t="array" ref="B461">_xlfn.IFS(H461=1,"Monday",H461=2,"Tuesday",H461=3,"Wednesday",H461=4,"Thursday",H461=5,"Friday",H461=6,"Saturday",H461=7,"Sunday")</f>
        <v>Friday</v>
      </c>
      <c r="C461" s="1">
        <f t="shared" si="42"/>
        <v>45747</v>
      </c>
      <c r="D461" s="1">
        <f t="shared" si="43"/>
        <v>45748</v>
      </c>
      <c r="E461" s="1" cm="1">
        <f t="array" ref="E461">DATE(YEAR(A461),_xlfn.IFS(MONTH(A461)&lt;=3,1,MONTH(A461)&lt;=6,4,MONTH(A461)&lt;=9,7,MONTH(A461)&lt;=12,10),1)</f>
        <v>45748</v>
      </c>
      <c r="F461" s="1">
        <f t="shared" si="44"/>
        <v>45658</v>
      </c>
      <c r="G461">
        <f t="shared" si="45"/>
        <v>4</v>
      </c>
      <c r="H461">
        <f t="shared" si="46"/>
        <v>5</v>
      </c>
      <c r="I461">
        <f t="shared" si="47"/>
        <v>14</v>
      </c>
      <c r="J461" t="str" cm="1">
        <f t="array" ref="J461">_xlfn.IFS(H461&lt;6,"Weekday",H461&gt;5,"Weekend")</f>
        <v>Weekday</v>
      </c>
    </row>
    <row r="462" spans="1:10" x14ac:dyDescent="0.25">
      <c r="A462" s="1">
        <v>45752</v>
      </c>
      <c r="B462" s="1" t="str" cm="1">
        <f t="array" ref="B462">_xlfn.IFS(H462=1,"Monday",H462=2,"Tuesday",H462=3,"Wednesday",H462=4,"Thursday",H462=5,"Friday",H462=6,"Saturday",H462=7,"Sunday")</f>
        <v>Saturday</v>
      </c>
      <c r="C462" s="1">
        <f t="shared" si="42"/>
        <v>45747</v>
      </c>
      <c r="D462" s="1">
        <f t="shared" si="43"/>
        <v>45748</v>
      </c>
      <c r="E462" s="1" cm="1">
        <f t="array" ref="E462">DATE(YEAR(A462),_xlfn.IFS(MONTH(A462)&lt;=3,1,MONTH(A462)&lt;=6,4,MONTH(A462)&lt;=9,7,MONTH(A462)&lt;=12,10),1)</f>
        <v>45748</v>
      </c>
      <c r="F462" s="1">
        <f t="shared" si="44"/>
        <v>45658</v>
      </c>
      <c r="G462">
        <f t="shared" si="45"/>
        <v>4</v>
      </c>
      <c r="H462">
        <f t="shared" si="46"/>
        <v>6</v>
      </c>
      <c r="I462">
        <f t="shared" si="47"/>
        <v>14</v>
      </c>
      <c r="J462" t="str" cm="1">
        <f t="array" ref="J462">_xlfn.IFS(H462&lt;6,"Weekday",H462&gt;5,"Weekend")</f>
        <v>Weekend</v>
      </c>
    </row>
    <row r="463" spans="1:10" x14ac:dyDescent="0.25">
      <c r="A463" s="1">
        <v>45753</v>
      </c>
      <c r="B463" s="1" t="str" cm="1">
        <f t="array" ref="B463">_xlfn.IFS(H463=1,"Monday",H463=2,"Tuesday",H463=3,"Wednesday",H463=4,"Thursday",H463=5,"Friday",H463=6,"Saturday",H463=7,"Sunday")</f>
        <v>Sunday</v>
      </c>
      <c r="C463" s="1">
        <f t="shared" si="42"/>
        <v>45747</v>
      </c>
      <c r="D463" s="1">
        <f t="shared" si="43"/>
        <v>45748</v>
      </c>
      <c r="E463" s="1" cm="1">
        <f t="array" ref="E463">DATE(YEAR(A463),_xlfn.IFS(MONTH(A463)&lt;=3,1,MONTH(A463)&lt;=6,4,MONTH(A463)&lt;=9,7,MONTH(A463)&lt;=12,10),1)</f>
        <v>45748</v>
      </c>
      <c r="F463" s="1">
        <f t="shared" si="44"/>
        <v>45658</v>
      </c>
      <c r="G463">
        <f t="shared" si="45"/>
        <v>4</v>
      </c>
      <c r="H463">
        <f t="shared" si="46"/>
        <v>7</v>
      </c>
      <c r="I463">
        <f t="shared" si="47"/>
        <v>14</v>
      </c>
      <c r="J463" t="str" cm="1">
        <f t="array" ref="J463">_xlfn.IFS(H463&lt;6,"Weekday",H463&gt;5,"Weekend")</f>
        <v>Weekend</v>
      </c>
    </row>
    <row r="464" spans="1:10" x14ac:dyDescent="0.25">
      <c r="A464" s="1">
        <v>45754</v>
      </c>
      <c r="B464" s="1" t="str" cm="1">
        <f t="array" ref="B464">_xlfn.IFS(H464=1,"Monday",H464=2,"Tuesday",H464=3,"Wednesday",H464=4,"Thursday",H464=5,"Friday",H464=6,"Saturday",H464=7,"Sunday")</f>
        <v>Monday</v>
      </c>
      <c r="C464" s="1">
        <f t="shared" si="42"/>
        <v>45754</v>
      </c>
      <c r="D464" s="1">
        <f t="shared" si="43"/>
        <v>45748</v>
      </c>
      <c r="E464" s="1" cm="1">
        <f t="array" ref="E464">DATE(YEAR(A464),_xlfn.IFS(MONTH(A464)&lt;=3,1,MONTH(A464)&lt;=6,4,MONTH(A464)&lt;=9,7,MONTH(A464)&lt;=12,10),1)</f>
        <v>45748</v>
      </c>
      <c r="F464" s="1">
        <f t="shared" si="44"/>
        <v>45658</v>
      </c>
      <c r="G464">
        <f t="shared" si="45"/>
        <v>4</v>
      </c>
      <c r="H464">
        <f t="shared" si="46"/>
        <v>1</v>
      </c>
      <c r="I464">
        <f t="shared" si="47"/>
        <v>15</v>
      </c>
      <c r="J464" t="str" cm="1">
        <f t="array" ref="J464">_xlfn.IFS(H464&lt;6,"Weekday",H464&gt;5,"Weekend")</f>
        <v>Weekday</v>
      </c>
    </row>
    <row r="465" spans="1:10" x14ac:dyDescent="0.25">
      <c r="A465" s="1">
        <v>45755</v>
      </c>
      <c r="B465" s="1" t="str" cm="1">
        <f t="array" ref="B465">_xlfn.IFS(H465=1,"Monday",H465=2,"Tuesday",H465=3,"Wednesday",H465=4,"Thursday",H465=5,"Friday",H465=6,"Saturday",H465=7,"Sunday")</f>
        <v>Tuesday</v>
      </c>
      <c r="C465" s="1">
        <f t="shared" si="42"/>
        <v>45754</v>
      </c>
      <c r="D465" s="1">
        <f t="shared" si="43"/>
        <v>45748</v>
      </c>
      <c r="E465" s="1" cm="1">
        <f t="array" ref="E465">DATE(YEAR(A465),_xlfn.IFS(MONTH(A465)&lt;=3,1,MONTH(A465)&lt;=6,4,MONTH(A465)&lt;=9,7,MONTH(A465)&lt;=12,10),1)</f>
        <v>45748</v>
      </c>
      <c r="F465" s="1">
        <f t="shared" si="44"/>
        <v>45658</v>
      </c>
      <c r="G465">
        <f t="shared" si="45"/>
        <v>4</v>
      </c>
      <c r="H465">
        <f t="shared" si="46"/>
        <v>2</v>
      </c>
      <c r="I465">
        <f t="shared" si="47"/>
        <v>15</v>
      </c>
      <c r="J465" t="str" cm="1">
        <f t="array" ref="J465">_xlfn.IFS(H465&lt;6,"Weekday",H465&gt;5,"Weekend")</f>
        <v>Weekday</v>
      </c>
    </row>
    <row r="466" spans="1:10" x14ac:dyDescent="0.25">
      <c r="A466" s="1">
        <v>45756</v>
      </c>
      <c r="B466" s="1" t="str" cm="1">
        <f t="array" ref="B466">_xlfn.IFS(H466=1,"Monday",H466=2,"Tuesday",H466=3,"Wednesday",H466=4,"Thursday",H466=5,"Friday",H466=6,"Saturday",H466=7,"Sunday")</f>
        <v>Wednesday</v>
      </c>
      <c r="C466" s="1">
        <f t="shared" si="42"/>
        <v>45754</v>
      </c>
      <c r="D466" s="1">
        <f t="shared" si="43"/>
        <v>45748</v>
      </c>
      <c r="E466" s="1" cm="1">
        <f t="array" ref="E466">DATE(YEAR(A466),_xlfn.IFS(MONTH(A466)&lt;=3,1,MONTH(A466)&lt;=6,4,MONTH(A466)&lt;=9,7,MONTH(A466)&lt;=12,10),1)</f>
        <v>45748</v>
      </c>
      <c r="F466" s="1">
        <f t="shared" si="44"/>
        <v>45658</v>
      </c>
      <c r="G466">
        <f t="shared" si="45"/>
        <v>4</v>
      </c>
      <c r="H466">
        <f t="shared" si="46"/>
        <v>3</v>
      </c>
      <c r="I466">
        <f t="shared" si="47"/>
        <v>15</v>
      </c>
      <c r="J466" t="str" cm="1">
        <f t="array" ref="J466">_xlfn.IFS(H466&lt;6,"Weekday",H466&gt;5,"Weekend")</f>
        <v>Weekday</v>
      </c>
    </row>
    <row r="467" spans="1:10" x14ac:dyDescent="0.25">
      <c r="A467" s="1">
        <v>45757</v>
      </c>
      <c r="B467" s="1" t="str" cm="1">
        <f t="array" ref="B467">_xlfn.IFS(H467=1,"Monday",H467=2,"Tuesday",H467=3,"Wednesday",H467=4,"Thursday",H467=5,"Friday",H467=6,"Saturday",H467=7,"Sunday")</f>
        <v>Thursday</v>
      </c>
      <c r="C467" s="1">
        <f t="shared" si="42"/>
        <v>45754</v>
      </c>
      <c r="D467" s="1">
        <f t="shared" si="43"/>
        <v>45748</v>
      </c>
      <c r="E467" s="1" cm="1">
        <f t="array" ref="E467">DATE(YEAR(A467),_xlfn.IFS(MONTH(A467)&lt;=3,1,MONTH(A467)&lt;=6,4,MONTH(A467)&lt;=9,7,MONTH(A467)&lt;=12,10),1)</f>
        <v>45748</v>
      </c>
      <c r="F467" s="1">
        <f t="shared" si="44"/>
        <v>45658</v>
      </c>
      <c r="G467">
        <f t="shared" si="45"/>
        <v>4</v>
      </c>
      <c r="H467">
        <f t="shared" si="46"/>
        <v>4</v>
      </c>
      <c r="I467">
        <f t="shared" si="47"/>
        <v>15</v>
      </c>
      <c r="J467" t="str" cm="1">
        <f t="array" ref="J467">_xlfn.IFS(H467&lt;6,"Weekday",H467&gt;5,"Weekend")</f>
        <v>Weekday</v>
      </c>
    </row>
    <row r="468" spans="1:10" x14ac:dyDescent="0.25">
      <c r="A468" s="1">
        <v>45758</v>
      </c>
      <c r="B468" s="1" t="str" cm="1">
        <f t="array" ref="B468">_xlfn.IFS(H468=1,"Monday",H468=2,"Tuesday",H468=3,"Wednesday",H468=4,"Thursday",H468=5,"Friday",H468=6,"Saturday",H468=7,"Sunday")</f>
        <v>Friday</v>
      </c>
      <c r="C468" s="1">
        <f t="shared" si="42"/>
        <v>45754</v>
      </c>
      <c r="D468" s="1">
        <f t="shared" si="43"/>
        <v>45748</v>
      </c>
      <c r="E468" s="1" cm="1">
        <f t="array" ref="E468">DATE(YEAR(A468),_xlfn.IFS(MONTH(A468)&lt;=3,1,MONTH(A468)&lt;=6,4,MONTH(A468)&lt;=9,7,MONTH(A468)&lt;=12,10),1)</f>
        <v>45748</v>
      </c>
      <c r="F468" s="1">
        <f t="shared" si="44"/>
        <v>45658</v>
      </c>
      <c r="G468">
        <f t="shared" si="45"/>
        <v>4</v>
      </c>
      <c r="H468">
        <f t="shared" si="46"/>
        <v>5</v>
      </c>
      <c r="I468">
        <f t="shared" si="47"/>
        <v>15</v>
      </c>
      <c r="J468" t="str" cm="1">
        <f t="array" ref="J468">_xlfn.IFS(H468&lt;6,"Weekday",H468&gt;5,"Weekend")</f>
        <v>Weekday</v>
      </c>
    </row>
    <row r="469" spans="1:10" x14ac:dyDescent="0.25">
      <c r="A469" s="1">
        <v>45759</v>
      </c>
      <c r="B469" s="1" t="str" cm="1">
        <f t="array" ref="B469">_xlfn.IFS(H469=1,"Monday",H469=2,"Tuesday",H469=3,"Wednesday",H469=4,"Thursday",H469=5,"Friday",H469=6,"Saturday",H469=7,"Sunday")</f>
        <v>Saturday</v>
      </c>
      <c r="C469" s="1">
        <f t="shared" si="42"/>
        <v>45754</v>
      </c>
      <c r="D469" s="1">
        <f t="shared" si="43"/>
        <v>45748</v>
      </c>
      <c r="E469" s="1" cm="1">
        <f t="array" ref="E469">DATE(YEAR(A469),_xlfn.IFS(MONTH(A469)&lt;=3,1,MONTH(A469)&lt;=6,4,MONTH(A469)&lt;=9,7,MONTH(A469)&lt;=12,10),1)</f>
        <v>45748</v>
      </c>
      <c r="F469" s="1">
        <f t="shared" si="44"/>
        <v>45658</v>
      </c>
      <c r="G469">
        <f t="shared" si="45"/>
        <v>4</v>
      </c>
      <c r="H469">
        <f t="shared" si="46"/>
        <v>6</v>
      </c>
      <c r="I469">
        <f t="shared" si="47"/>
        <v>15</v>
      </c>
      <c r="J469" t="str" cm="1">
        <f t="array" ref="J469">_xlfn.IFS(H469&lt;6,"Weekday",H469&gt;5,"Weekend")</f>
        <v>Weekend</v>
      </c>
    </row>
    <row r="470" spans="1:10" x14ac:dyDescent="0.25">
      <c r="A470" s="1">
        <v>45760</v>
      </c>
      <c r="B470" s="1" t="str" cm="1">
        <f t="array" ref="B470">_xlfn.IFS(H470=1,"Monday",H470=2,"Tuesday",H470=3,"Wednesday",H470=4,"Thursday",H470=5,"Friday",H470=6,"Saturday",H470=7,"Sunday")</f>
        <v>Sunday</v>
      </c>
      <c r="C470" s="1">
        <f t="shared" si="42"/>
        <v>45754</v>
      </c>
      <c r="D470" s="1">
        <f t="shared" si="43"/>
        <v>45748</v>
      </c>
      <c r="E470" s="1" cm="1">
        <f t="array" ref="E470">DATE(YEAR(A470),_xlfn.IFS(MONTH(A470)&lt;=3,1,MONTH(A470)&lt;=6,4,MONTH(A470)&lt;=9,7,MONTH(A470)&lt;=12,10),1)</f>
        <v>45748</v>
      </c>
      <c r="F470" s="1">
        <f t="shared" si="44"/>
        <v>45658</v>
      </c>
      <c r="G470">
        <f t="shared" si="45"/>
        <v>4</v>
      </c>
      <c r="H470">
        <f t="shared" si="46"/>
        <v>7</v>
      </c>
      <c r="I470">
        <f t="shared" si="47"/>
        <v>15</v>
      </c>
      <c r="J470" t="str" cm="1">
        <f t="array" ref="J470">_xlfn.IFS(H470&lt;6,"Weekday",H470&gt;5,"Weekend")</f>
        <v>Weekend</v>
      </c>
    </row>
    <row r="471" spans="1:10" x14ac:dyDescent="0.25">
      <c r="A471" s="1">
        <v>45761</v>
      </c>
      <c r="B471" s="1" t="str" cm="1">
        <f t="array" ref="B471">_xlfn.IFS(H471=1,"Monday",H471=2,"Tuesday",H471=3,"Wednesday",H471=4,"Thursday",H471=5,"Friday",H471=6,"Saturday",H471=7,"Sunday")</f>
        <v>Monday</v>
      </c>
      <c r="C471" s="1">
        <f t="shared" si="42"/>
        <v>45761</v>
      </c>
      <c r="D471" s="1">
        <f t="shared" si="43"/>
        <v>45748</v>
      </c>
      <c r="E471" s="1" cm="1">
        <f t="array" ref="E471">DATE(YEAR(A471),_xlfn.IFS(MONTH(A471)&lt;=3,1,MONTH(A471)&lt;=6,4,MONTH(A471)&lt;=9,7,MONTH(A471)&lt;=12,10),1)</f>
        <v>45748</v>
      </c>
      <c r="F471" s="1">
        <f t="shared" si="44"/>
        <v>45658</v>
      </c>
      <c r="G471">
        <f t="shared" si="45"/>
        <v>4</v>
      </c>
      <c r="H471">
        <f t="shared" si="46"/>
        <v>1</v>
      </c>
      <c r="I471">
        <f t="shared" si="47"/>
        <v>16</v>
      </c>
      <c r="J471" t="str" cm="1">
        <f t="array" ref="J471">_xlfn.IFS(H471&lt;6,"Weekday",H471&gt;5,"Weekend")</f>
        <v>Weekday</v>
      </c>
    </row>
    <row r="472" spans="1:10" x14ac:dyDescent="0.25">
      <c r="A472" s="1">
        <v>45762</v>
      </c>
      <c r="B472" s="1" t="str" cm="1">
        <f t="array" ref="B472">_xlfn.IFS(H472=1,"Monday",H472=2,"Tuesday",H472=3,"Wednesday",H472=4,"Thursday",H472=5,"Friday",H472=6,"Saturday",H472=7,"Sunday")</f>
        <v>Tuesday</v>
      </c>
      <c r="C472" s="1">
        <f t="shared" si="42"/>
        <v>45761</v>
      </c>
      <c r="D472" s="1">
        <f t="shared" si="43"/>
        <v>45748</v>
      </c>
      <c r="E472" s="1" cm="1">
        <f t="array" ref="E472">DATE(YEAR(A472),_xlfn.IFS(MONTH(A472)&lt;=3,1,MONTH(A472)&lt;=6,4,MONTH(A472)&lt;=9,7,MONTH(A472)&lt;=12,10),1)</f>
        <v>45748</v>
      </c>
      <c r="F472" s="1">
        <f t="shared" si="44"/>
        <v>45658</v>
      </c>
      <c r="G472">
        <f t="shared" si="45"/>
        <v>4</v>
      </c>
      <c r="H472">
        <f t="shared" si="46"/>
        <v>2</v>
      </c>
      <c r="I472">
        <f t="shared" si="47"/>
        <v>16</v>
      </c>
      <c r="J472" t="str" cm="1">
        <f t="array" ref="J472">_xlfn.IFS(H472&lt;6,"Weekday",H472&gt;5,"Weekend")</f>
        <v>Weekday</v>
      </c>
    </row>
    <row r="473" spans="1:10" x14ac:dyDescent="0.25">
      <c r="A473" s="1">
        <v>45763</v>
      </c>
      <c r="B473" s="1" t="str" cm="1">
        <f t="array" ref="B473">_xlfn.IFS(H473=1,"Monday",H473=2,"Tuesday",H473=3,"Wednesday",H473=4,"Thursday",H473=5,"Friday",H473=6,"Saturday",H473=7,"Sunday")</f>
        <v>Wednesday</v>
      </c>
      <c r="C473" s="1">
        <f t="shared" si="42"/>
        <v>45761</v>
      </c>
      <c r="D473" s="1">
        <f t="shared" si="43"/>
        <v>45748</v>
      </c>
      <c r="E473" s="1" cm="1">
        <f t="array" ref="E473">DATE(YEAR(A473),_xlfn.IFS(MONTH(A473)&lt;=3,1,MONTH(A473)&lt;=6,4,MONTH(A473)&lt;=9,7,MONTH(A473)&lt;=12,10),1)</f>
        <v>45748</v>
      </c>
      <c r="F473" s="1">
        <f t="shared" si="44"/>
        <v>45658</v>
      </c>
      <c r="G473">
        <f t="shared" si="45"/>
        <v>4</v>
      </c>
      <c r="H473">
        <f t="shared" si="46"/>
        <v>3</v>
      </c>
      <c r="I473">
        <f t="shared" si="47"/>
        <v>16</v>
      </c>
      <c r="J473" t="str" cm="1">
        <f t="array" ref="J473">_xlfn.IFS(H473&lt;6,"Weekday",H473&gt;5,"Weekend")</f>
        <v>Weekday</v>
      </c>
    </row>
    <row r="474" spans="1:10" x14ac:dyDescent="0.25">
      <c r="A474" s="1">
        <v>45764</v>
      </c>
      <c r="B474" s="1" t="str" cm="1">
        <f t="array" ref="B474">_xlfn.IFS(H474=1,"Monday",H474=2,"Tuesday",H474=3,"Wednesday",H474=4,"Thursday",H474=5,"Friday",H474=6,"Saturday",H474=7,"Sunday")</f>
        <v>Thursday</v>
      </c>
      <c r="C474" s="1">
        <f t="shared" si="42"/>
        <v>45761</v>
      </c>
      <c r="D474" s="1">
        <f t="shared" si="43"/>
        <v>45748</v>
      </c>
      <c r="E474" s="1" cm="1">
        <f t="array" ref="E474">DATE(YEAR(A474),_xlfn.IFS(MONTH(A474)&lt;=3,1,MONTH(A474)&lt;=6,4,MONTH(A474)&lt;=9,7,MONTH(A474)&lt;=12,10),1)</f>
        <v>45748</v>
      </c>
      <c r="F474" s="1">
        <f t="shared" si="44"/>
        <v>45658</v>
      </c>
      <c r="G474">
        <f t="shared" si="45"/>
        <v>4</v>
      </c>
      <c r="H474">
        <f t="shared" si="46"/>
        <v>4</v>
      </c>
      <c r="I474">
        <f t="shared" si="47"/>
        <v>16</v>
      </c>
      <c r="J474" t="str" cm="1">
        <f t="array" ref="J474">_xlfn.IFS(H474&lt;6,"Weekday",H474&gt;5,"Weekend")</f>
        <v>Weekday</v>
      </c>
    </row>
    <row r="475" spans="1:10" x14ac:dyDescent="0.25">
      <c r="A475" s="1">
        <v>45765</v>
      </c>
      <c r="B475" s="1" t="str" cm="1">
        <f t="array" ref="B475">_xlfn.IFS(H475=1,"Monday",H475=2,"Tuesday",H475=3,"Wednesday",H475=4,"Thursday",H475=5,"Friday",H475=6,"Saturday",H475=7,"Sunday")</f>
        <v>Friday</v>
      </c>
      <c r="C475" s="1">
        <f t="shared" si="42"/>
        <v>45761</v>
      </c>
      <c r="D475" s="1">
        <f t="shared" si="43"/>
        <v>45748</v>
      </c>
      <c r="E475" s="1" cm="1">
        <f t="array" ref="E475">DATE(YEAR(A475),_xlfn.IFS(MONTH(A475)&lt;=3,1,MONTH(A475)&lt;=6,4,MONTH(A475)&lt;=9,7,MONTH(A475)&lt;=12,10),1)</f>
        <v>45748</v>
      </c>
      <c r="F475" s="1">
        <f t="shared" si="44"/>
        <v>45658</v>
      </c>
      <c r="G475">
        <f t="shared" si="45"/>
        <v>4</v>
      </c>
      <c r="H475">
        <f t="shared" si="46"/>
        <v>5</v>
      </c>
      <c r="I475">
        <f t="shared" si="47"/>
        <v>16</v>
      </c>
      <c r="J475" t="str" cm="1">
        <f t="array" ref="J475">_xlfn.IFS(H475&lt;6,"Weekday",H475&gt;5,"Weekend")</f>
        <v>Weekday</v>
      </c>
    </row>
    <row r="476" spans="1:10" x14ac:dyDescent="0.25">
      <c r="A476" s="1">
        <v>45766</v>
      </c>
      <c r="B476" s="1" t="str" cm="1">
        <f t="array" ref="B476">_xlfn.IFS(H476=1,"Monday",H476=2,"Tuesday",H476=3,"Wednesday",H476=4,"Thursday",H476=5,"Friday",H476=6,"Saturday",H476=7,"Sunday")</f>
        <v>Saturday</v>
      </c>
      <c r="C476" s="1">
        <f t="shared" si="42"/>
        <v>45761</v>
      </c>
      <c r="D476" s="1">
        <f t="shared" si="43"/>
        <v>45748</v>
      </c>
      <c r="E476" s="1" cm="1">
        <f t="array" ref="E476">DATE(YEAR(A476),_xlfn.IFS(MONTH(A476)&lt;=3,1,MONTH(A476)&lt;=6,4,MONTH(A476)&lt;=9,7,MONTH(A476)&lt;=12,10),1)</f>
        <v>45748</v>
      </c>
      <c r="F476" s="1">
        <f t="shared" si="44"/>
        <v>45658</v>
      </c>
      <c r="G476">
        <f t="shared" si="45"/>
        <v>4</v>
      </c>
      <c r="H476">
        <f t="shared" si="46"/>
        <v>6</v>
      </c>
      <c r="I476">
        <f t="shared" si="47"/>
        <v>16</v>
      </c>
      <c r="J476" t="str" cm="1">
        <f t="array" ref="J476">_xlfn.IFS(H476&lt;6,"Weekday",H476&gt;5,"Weekend")</f>
        <v>Weekend</v>
      </c>
    </row>
    <row r="477" spans="1:10" x14ac:dyDescent="0.25">
      <c r="A477" s="1">
        <v>45767</v>
      </c>
      <c r="B477" s="1" t="str" cm="1">
        <f t="array" ref="B477">_xlfn.IFS(H477=1,"Monday",H477=2,"Tuesday",H477=3,"Wednesday",H477=4,"Thursday",H477=5,"Friday",H477=6,"Saturday",H477=7,"Sunday")</f>
        <v>Sunday</v>
      </c>
      <c r="C477" s="1">
        <f t="shared" si="42"/>
        <v>45761</v>
      </c>
      <c r="D477" s="1">
        <f t="shared" si="43"/>
        <v>45748</v>
      </c>
      <c r="E477" s="1" cm="1">
        <f t="array" ref="E477">DATE(YEAR(A477),_xlfn.IFS(MONTH(A477)&lt;=3,1,MONTH(A477)&lt;=6,4,MONTH(A477)&lt;=9,7,MONTH(A477)&lt;=12,10),1)</f>
        <v>45748</v>
      </c>
      <c r="F477" s="1">
        <f t="shared" si="44"/>
        <v>45658</v>
      </c>
      <c r="G477">
        <f t="shared" si="45"/>
        <v>4</v>
      </c>
      <c r="H477">
        <f t="shared" si="46"/>
        <v>7</v>
      </c>
      <c r="I477">
        <f t="shared" si="47"/>
        <v>16</v>
      </c>
      <c r="J477" t="str" cm="1">
        <f t="array" ref="J477">_xlfn.IFS(H477&lt;6,"Weekday",H477&gt;5,"Weekend")</f>
        <v>Weekend</v>
      </c>
    </row>
    <row r="478" spans="1:10" x14ac:dyDescent="0.25">
      <c r="A478" s="1">
        <v>45768</v>
      </c>
      <c r="B478" s="1" t="str" cm="1">
        <f t="array" ref="B478">_xlfn.IFS(H478=1,"Monday",H478=2,"Tuesday",H478=3,"Wednesday",H478=4,"Thursday",H478=5,"Friday",H478=6,"Saturday",H478=7,"Sunday")</f>
        <v>Monday</v>
      </c>
      <c r="C478" s="1">
        <f t="shared" si="42"/>
        <v>45768</v>
      </c>
      <c r="D478" s="1">
        <f t="shared" si="43"/>
        <v>45748</v>
      </c>
      <c r="E478" s="1" cm="1">
        <f t="array" ref="E478">DATE(YEAR(A478),_xlfn.IFS(MONTH(A478)&lt;=3,1,MONTH(A478)&lt;=6,4,MONTH(A478)&lt;=9,7,MONTH(A478)&lt;=12,10),1)</f>
        <v>45748</v>
      </c>
      <c r="F478" s="1">
        <f t="shared" si="44"/>
        <v>45658</v>
      </c>
      <c r="G478">
        <f t="shared" si="45"/>
        <v>4</v>
      </c>
      <c r="H478">
        <f t="shared" si="46"/>
        <v>1</v>
      </c>
      <c r="I478">
        <f t="shared" si="47"/>
        <v>17</v>
      </c>
      <c r="J478" t="str" cm="1">
        <f t="array" ref="J478">_xlfn.IFS(H478&lt;6,"Weekday",H478&gt;5,"Weekend")</f>
        <v>Weekday</v>
      </c>
    </row>
    <row r="479" spans="1:10" x14ac:dyDescent="0.25">
      <c r="A479" s="1">
        <v>45769</v>
      </c>
      <c r="B479" s="1" t="str" cm="1">
        <f t="array" ref="B479">_xlfn.IFS(H479=1,"Monday",H479=2,"Tuesday",H479=3,"Wednesday",H479=4,"Thursday",H479=5,"Friday",H479=6,"Saturday",H479=7,"Sunday")</f>
        <v>Tuesday</v>
      </c>
      <c r="C479" s="1">
        <f t="shared" si="42"/>
        <v>45768</v>
      </c>
      <c r="D479" s="1">
        <f t="shared" si="43"/>
        <v>45748</v>
      </c>
      <c r="E479" s="1" cm="1">
        <f t="array" ref="E479">DATE(YEAR(A479),_xlfn.IFS(MONTH(A479)&lt;=3,1,MONTH(A479)&lt;=6,4,MONTH(A479)&lt;=9,7,MONTH(A479)&lt;=12,10),1)</f>
        <v>45748</v>
      </c>
      <c r="F479" s="1">
        <f t="shared" si="44"/>
        <v>45658</v>
      </c>
      <c r="G479">
        <f t="shared" si="45"/>
        <v>4</v>
      </c>
      <c r="H479">
        <f t="shared" si="46"/>
        <v>2</v>
      </c>
      <c r="I479">
        <f t="shared" si="47"/>
        <v>17</v>
      </c>
      <c r="J479" t="str" cm="1">
        <f t="array" ref="J479">_xlfn.IFS(H479&lt;6,"Weekday",H479&gt;5,"Weekend")</f>
        <v>Weekday</v>
      </c>
    </row>
    <row r="480" spans="1:10" x14ac:dyDescent="0.25">
      <c r="A480" s="1">
        <v>45770</v>
      </c>
      <c r="B480" s="1" t="str" cm="1">
        <f t="array" ref="B480">_xlfn.IFS(H480=1,"Monday",H480=2,"Tuesday",H480=3,"Wednesday",H480=4,"Thursday",H480=5,"Friday",H480=6,"Saturday",H480=7,"Sunday")</f>
        <v>Wednesday</v>
      </c>
      <c r="C480" s="1">
        <f t="shared" si="42"/>
        <v>45768</v>
      </c>
      <c r="D480" s="1">
        <f t="shared" si="43"/>
        <v>45748</v>
      </c>
      <c r="E480" s="1" cm="1">
        <f t="array" ref="E480">DATE(YEAR(A480),_xlfn.IFS(MONTH(A480)&lt;=3,1,MONTH(A480)&lt;=6,4,MONTH(A480)&lt;=9,7,MONTH(A480)&lt;=12,10),1)</f>
        <v>45748</v>
      </c>
      <c r="F480" s="1">
        <f t="shared" si="44"/>
        <v>45658</v>
      </c>
      <c r="G480">
        <f t="shared" si="45"/>
        <v>4</v>
      </c>
      <c r="H480">
        <f t="shared" si="46"/>
        <v>3</v>
      </c>
      <c r="I480">
        <f t="shared" si="47"/>
        <v>17</v>
      </c>
      <c r="J480" t="str" cm="1">
        <f t="array" ref="J480">_xlfn.IFS(H480&lt;6,"Weekday",H480&gt;5,"Weekend")</f>
        <v>Weekday</v>
      </c>
    </row>
    <row r="481" spans="1:10" x14ac:dyDescent="0.25">
      <c r="A481" s="1">
        <v>45771</v>
      </c>
      <c r="B481" s="1" t="str" cm="1">
        <f t="array" ref="B481">_xlfn.IFS(H481=1,"Monday",H481=2,"Tuesday",H481=3,"Wednesday",H481=4,"Thursday",H481=5,"Friday",H481=6,"Saturday",H481=7,"Sunday")</f>
        <v>Thursday</v>
      </c>
      <c r="C481" s="1">
        <f t="shared" si="42"/>
        <v>45768</v>
      </c>
      <c r="D481" s="1">
        <f t="shared" si="43"/>
        <v>45748</v>
      </c>
      <c r="E481" s="1" cm="1">
        <f t="array" ref="E481">DATE(YEAR(A481),_xlfn.IFS(MONTH(A481)&lt;=3,1,MONTH(A481)&lt;=6,4,MONTH(A481)&lt;=9,7,MONTH(A481)&lt;=12,10),1)</f>
        <v>45748</v>
      </c>
      <c r="F481" s="1">
        <f t="shared" si="44"/>
        <v>45658</v>
      </c>
      <c r="G481">
        <f t="shared" si="45"/>
        <v>4</v>
      </c>
      <c r="H481">
        <f t="shared" si="46"/>
        <v>4</v>
      </c>
      <c r="I481">
        <f t="shared" si="47"/>
        <v>17</v>
      </c>
      <c r="J481" t="str" cm="1">
        <f t="array" ref="J481">_xlfn.IFS(H481&lt;6,"Weekday",H481&gt;5,"Weekend")</f>
        <v>Weekday</v>
      </c>
    </row>
    <row r="482" spans="1:10" x14ac:dyDescent="0.25">
      <c r="A482" s="1">
        <v>45772</v>
      </c>
      <c r="B482" s="1" t="str" cm="1">
        <f t="array" ref="B482">_xlfn.IFS(H482=1,"Monday",H482=2,"Tuesday",H482=3,"Wednesday",H482=4,"Thursday",H482=5,"Friday",H482=6,"Saturday",H482=7,"Sunday")</f>
        <v>Friday</v>
      </c>
      <c r="C482" s="1">
        <f t="shared" si="42"/>
        <v>45768</v>
      </c>
      <c r="D482" s="1">
        <f t="shared" si="43"/>
        <v>45748</v>
      </c>
      <c r="E482" s="1" cm="1">
        <f t="array" ref="E482">DATE(YEAR(A482),_xlfn.IFS(MONTH(A482)&lt;=3,1,MONTH(A482)&lt;=6,4,MONTH(A482)&lt;=9,7,MONTH(A482)&lt;=12,10),1)</f>
        <v>45748</v>
      </c>
      <c r="F482" s="1">
        <f t="shared" si="44"/>
        <v>45658</v>
      </c>
      <c r="G482">
        <f t="shared" si="45"/>
        <v>4</v>
      </c>
      <c r="H482">
        <f t="shared" si="46"/>
        <v>5</v>
      </c>
      <c r="I482">
        <f t="shared" si="47"/>
        <v>17</v>
      </c>
      <c r="J482" t="str" cm="1">
        <f t="array" ref="J482">_xlfn.IFS(H482&lt;6,"Weekday",H482&gt;5,"Weekend")</f>
        <v>Weekday</v>
      </c>
    </row>
    <row r="483" spans="1:10" x14ac:dyDescent="0.25">
      <c r="A483" s="1">
        <v>45773</v>
      </c>
      <c r="B483" s="1" t="str" cm="1">
        <f t="array" ref="B483">_xlfn.IFS(H483=1,"Monday",H483=2,"Tuesday",H483=3,"Wednesday",H483=4,"Thursday",H483=5,"Friday",H483=6,"Saturday",H483=7,"Sunday")</f>
        <v>Saturday</v>
      </c>
      <c r="C483" s="1">
        <f t="shared" si="42"/>
        <v>45768</v>
      </c>
      <c r="D483" s="1">
        <f t="shared" si="43"/>
        <v>45748</v>
      </c>
      <c r="E483" s="1" cm="1">
        <f t="array" ref="E483">DATE(YEAR(A483),_xlfn.IFS(MONTH(A483)&lt;=3,1,MONTH(A483)&lt;=6,4,MONTH(A483)&lt;=9,7,MONTH(A483)&lt;=12,10),1)</f>
        <v>45748</v>
      </c>
      <c r="F483" s="1">
        <f t="shared" si="44"/>
        <v>45658</v>
      </c>
      <c r="G483">
        <f t="shared" si="45"/>
        <v>4</v>
      </c>
      <c r="H483">
        <f t="shared" si="46"/>
        <v>6</v>
      </c>
      <c r="I483">
        <f t="shared" si="47"/>
        <v>17</v>
      </c>
      <c r="J483" t="str" cm="1">
        <f t="array" ref="J483">_xlfn.IFS(H483&lt;6,"Weekday",H483&gt;5,"Weekend")</f>
        <v>Weekend</v>
      </c>
    </row>
    <row r="484" spans="1:10" x14ac:dyDescent="0.25">
      <c r="A484" s="1">
        <v>45774</v>
      </c>
      <c r="B484" s="1" t="str" cm="1">
        <f t="array" ref="B484">_xlfn.IFS(H484=1,"Monday",H484=2,"Tuesday",H484=3,"Wednesday",H484=4,"Thursday",H484=5,"Friday",H484=6,"Saturday",H484=7,"Sunday")</f>
        <v>Sunday</v>
      </c>
      <c r="C484" s="1">
        <f t="shared" si="42"/>
        <v>45768</v>
      </c>
      <c r="D484" s="1">
        <f t="shared" si="43"/>
        <v>45748</v>
      </c>
      <c r="E484" s="1" cm="1">
        <f t="array" ref="E484">DATE(YEAR(A484),_xlfn.IFS(MONTH(A484)&lt;=3,1,MONTH(A484)&lt;=6,4,MONTH(A484)&lt;=9,7,MONTH(A484)&lt;=12,10),1)</f>
        <v>45748</v>
      </c>
      <c r="F484" s="1">
        <f t="shared" si="44"/>
        <v>45658</v>
      </c>
      <c r="G484">
        <f t="shared" si="45"/>
        <v>4</v>
      </c>
      <c r="H484">
        <f t="shared" si="46"/>
        <v>7</v>
      </c>
      <c r="I484">
        <f t="shared" si="47"/>
        <v>17</v>
      </c>
      <c r="J484" t="str" cm="1">
        <f t="array" ref="J484">_xlfn.IFS(H484&lt;6,"Weekday",H484&gt;5,"Weekend")</f>
        <v>Weekend</v>
      </c>
    </row>
    <row r="485" spans="1:10" x14ac:dyDescent="0.25">
      <c r="A485" s="1">
        <v>45775</v>
      </c>
      <c r="B485" s="1" t="str" cm="1">
        <f t="array" ref="B485">_xlfn.IFS(H485=1,"Monday",H485=2,"Tuesday",H485=3,"Wednesday",H485=4,"Thursday",H485=5,"Friday",H485=6,"Saturday",H485=7,"Sunday")</f>
        <v>Monday</v>
      </c>
      <c r="C485" s="1">
        <f t="shared" si="42"/>
        <v>45775</v>
      </c>
      <c r="D485" s="1">
        <f t="shared" si="43"/>
        <v>45748</v>
      </c>
      <c r="E485" s="1" cm="1">
        <f t="array" ref="E485">DATE(YEAR(A485),_xlfn.IFS(MONTH(A485)&lt;=3,1,MONTH(A485)&lt;=6,4,MONTH(A485)&lt;=9,7,MONTH(A485)&lt;=12,10),1)</f>
        <v>45748</v>
      </c>
      <c r="F485" s="1">
        <f t="shared" si="44"/>
        <v>45658</v>
      </c>
      <c r="G485">
        <f t="shared" si="45"/>
        <v>4</v>
      </c>
      <c r="H485">
        <f t="shared" si="46"/>
        <v>1</v>
      </c>
      <c r="I485">
        <f t="shared" si="47"/>
        <v>18</v>
      </c>
      <c r="J485" t="str" cm="1">
        <f t="array" ref="J485">_xlfn.IFS(H485&lt;6,"Weekday",H485&gt;5,"Weekend")</f>
        <v>Weekday</v>
      </c>
    </row>
    <row r="486" spans="1:10" x14ac:dyDescent="0.25">
      <c r="A486" s="1">
        <v>45776</v>
      </c>
      <c r="B486" s="1" t="str" cm="1">
        <f t="array" ref="B486">_xlfn.IFS(H486=1,"Monday",H486=2,"Tuesday",H486=3,"Wednesday",H486=4,"Thursday",H486=5,"Friday",H486=6,"Saturday",H486=7,"Sunday")</f>
        <v>Tuesday</v>
      </c>
      <c r="C486" s="1">
        <f t="shared" si="42"/>
        <v>45775</v>
      </c>
      <c r="D486" s="1">
        <f t="shared" si="43"/>
        <v>45748</v>
      </c>
      <c r="E486" s="1" cm="1">
        <f t="array" ref="E486">DATE(YEAR(A486),_xlfn.IFS(MONTH(A486)&lt;=3,1,MONTH(A486)&lt;=6,4,MONTH(A486)&lt;=9,7,MONTH(A486)&lt;=12,10),1)</f>
        <v>45748</v>
      </c>
      <c r="F486" s="1">
        <f t="shared" si="44"/>
        <v>45658</v>
      </c>
      <c r="G486">
        <f t="shared" si="45"/>
        <v>4</v>
      </c>
      <c r="H486">
        <f t="shared" si="46"/>
        <v>2</v>
      </c>
      <c r="I486">
        <f t="shared" si="47"/>
        <v>18</v>
      </c>
      <c r="J486" t="str" cm="1">
        <f t="array" ref="J486">_xlfn.IFS(H486&lt;6,"Weekday",H486&gt;5,"Weekend")</f>
        <v>Weekday</v>
      </c>
    </row>
    <row r="487" spans="1:10" x14ac:dyDescent="0.25">
      <c r="A487" s="1">
        <v>45777</v>
      </c>
      <c r="B487" s="1" t="str" cm="1">
        <f t="array" ref="B487">_xlfn.IFS(H487=1,"Monday",H487=2,"Tuesday",H487=3,"Wednesday",H487=4,"Thursday",H487=5,"Friday",H487=6,"Saturday",H487=7,"Sunday")</f>
        <v>Wednesday</v>
      </c>
      <c r="C487" s="1">
        <f t="shared" si="42"/>
        <v>45775</v>
      </c>
      <c r="D487" s="1">
        <f t="shared" si="43"/>
        <v>45748</v>
      </c>
      <c r="E487" s="1" cm="1">
        <f t="array" ref="E487">DATE(YEAR(A487),_xlfn.IFS(MONTH(A487)&lt;=3,1,MONTH(A487)&lt;=6,4,MONTH(A487)&lt;=9,7,MONTH(A487)&lt;=12,10),1)</f>
        <v>45748</v>
      </c>
      <c r="F487" s="1">
        <f t="shared" si="44"/>
        <v>45658</v>
      </c>
      <c r="G487">
        <f t="shared" si="45"/>
        <v>4</v>
      </c>
      <c r="H487">
        <f t="shared" si="46"/>
        <v>3</v>
      </c>
      <c r="I487">
        <f t="shared" si="47"/>
        <v>18</v>
      </c>
      <c r="J487" t="str" cm="1">
        <f t="array" ref="J487">_xlfn.IFS(H487&lt;6,"Weekday",H487&gt;5,"Weekend")</f>
        <v>Weekday</v>
      </c>
    </row>
    <row r="488" spans="1:10" x14ac:dyDescent="0.25">
      <c r="A488" s="1">
        <v>45778</v>
      </c>
      <c r="B488" s="1" t="str" cm="1">
        <f t="array" ref="B488">_xlfn.IFS(H488=1,"Monday",H488=2,"Tuesday",H488=3,"Wednesday",H488=4,"Thursday",H488=5,"Friday",H488=6,"Saturday",H488=7,"Sunday")</f>
        <v>Thursday</v>
      </c>
      <c r="C488" s="1">
        <f t="shared" si="42"/>
        <v>45775</v>
      </c>
      <c r="D488" s="1">
        <f t="shared" si="43"/>
        <v>45778</v>
      </c>
      <c r="E488" s="1" cm="1">
        <f t="array" ref="E488">DATE(YEAR(A488),_xlfn.IFS(MONTH(A488)&lt;=3,1,MONTH(A488)&lt;=6,4,MONTH(A488)&lt;=9,7,MONTH(A488)&lt;=12,10),1)</f>
        <v>45748</v>
      </c>
      <c r="F488" s="1">
        <f t="shared" si="44"/>
        <v>45658</v>
      </c>
      <c r="G488">
        <f t="shared" si="45"/>
        <v>5</v>
      </c>
      <c r="H488">
        <f t="shared" si="46"/>
        <v>4</v>
      </c>
      <c r="I488">
        <f t="shared" si="47"/>
        <v>18</v>
      </c>
      <c r="J488" t="str" cm="1">
        <f t="array" ref="J488">_xlfn.IFS(H488&lt;6,"Weekday",H488&gt;5,"Weekend")</f>
        <v>Weekday</v>
      </c>
    </row>
    <row r="489" spans="1:10" x14ac:dyDescent="0.25">
      <c r="A489" s="1">
        <v>45779</v>
      </c>
      <c r="B489" s="1" t="str" cm="1">
        <f t="array" ref="B489">_xlfn.IFS(H489=1,"Monday",H489=2,"Tuesday",H489=3,"Wednesday",H489=4,"Thursday",H489=5,"Friday",H489=6,"Saturday",H489=7,"Sunday")</f>
        <v>Friday</v>
      </c>
      <c r="C489" s="1">
        <f t="shared" si="42"/>
        <v>45775</v>
      </c>
      <c r="D489" s="1">
        <f t="shared" si="43"/>
        <v>45778</v>
      </c>
      <c r="E489" s="1" cm="1">
        <f t="array" ref="E489">DATE(YEAR(A489),_xlfn.IFS(MONTH(A489)&lt;=3,1,MONTH(A489)&lt;=6,4,MONTH(A489)&lt;=9,7,MONTH(A489)&lt;=12,10),1)</f>
        <v>45748</v>
      </c>
      <c r="F489" s="1">
        <f t="shared" si="44"/>
        <v>45658</v>
      </c>
      <c r="G489">
        <f t="shared" si="45"/>
        <v>5</v>
      </c>
      <c r="H489">
        <f t="shared" si="46"/>
        <v>5</v>
      </c>
      <c r="I489">
        <f t="shared" si="47"/>
        <v>18</v>
      </c>
      <c r="J489" t="str" cm="1">
        <f t="array" ref="J489">_xlfn.IFS(H489&lt;6,"Weekday",H489&gt;5,"Weekend")</f>
        <v>Weekday</v>
      </c>
    </row>
    <row r="490" spans="1:10" x14ac:dyDescent="0.25">
      <c r="A490" s="1">
        <v>45780</v>
      </c>
      <c r="B490" s="1" t="str" cm="1">
        <f t="array" ref="B490">_xlfn.IFS(H490=1,"Monday",H490=2,"Tuesday",H490=3,"Wednesday",H490=4,"Thursday",H490=5,"Friday",H490=6,"Saturday",H490=7,"Sunday")</f>
        <v>Saturday</v>
      </c>
      <c r="C490" s="1">
        <f t="shared" si="42"/>
        <v>45775</v>
      </c>
      <c r="D490" s="1">
        <f t="shared" si="43"/>
        <v>45778</v>
      </c>
      <c r="E490" s="1" cm="1">
        <f t="array" ref="E490">DATE(YEAR(A490),_xlfn.IFS(MONTH(A490)&lt;=3,1,MONTH(A490)&lt;=6,4,MONTH(A490)&lt;=9,7,MONTH(A490)&lt;=12,10),1)</f>
        <v>45748</v>
      </c>
      <c r="F490" s="1">
        <f t="shared" si="44"/>
        <v>45658</v>
      </c>
      <c r="G490">
        <f t="shared" si="45"/>
        <v>5</v>
      </c>
      <c r="H490">
        <f t="shared" si="46"/>
        <v>6</v>
      </c>
      <c r="I490">
        <f t="shared" si="47"/>
        <v>18</v>
      </c>
      <c r="J490" t="str" cm="1">
        <f t="array" ref="J490">_xlfn.IFS(H490&lt;6,"Weekday",H490&gt;5,"Weekend")</f>
        <v>Weekend</v>
      </c>
    </row>
    <row r="491" spans="1:10" x14ac:dyDescent="0.25">
      <c r="A491" s="1">
        <v>45781</v>
      </c>
      <c r="B491" s="1" t="str" cm="1">
        <f t="array" ref="B491">_xlfn.IFS(H491=1,"Monday",H491=2,"Tuesday",H491=3,"Wednesday",H491=4,"Thursday",H491=5,"Friday",H491=6,"Saturday",H491=7,"Sunday")</f>
        <v>Sunday</v>
      </c>
      <c r="C491" s="1">
        <f t="shared" si="42"/>
        <v>45775</v>
      </c>
      <c r="D491" s="1">
        <f t="shared" si="43"/>
        <v>45778</v>
      </c>
      <c r="E491" s="1" cm="1">
        <f t="array" ref="E491">DATE(YEAR(A491),_xlfn.IFS(MONTH(A491)&lt;=3,1,MONTH(A491)&lt;=6,4,MONTH(A491)&lt;=9,7,MONTH(A491)&lt;=12,10),1)</f>
        <v>45748</v>
      </c>
      <c r="F491" s="1">
        <f t="shared" si="44"/>
        <v>45658</v>
      </c>
      <c r="G491">
        <f t="shared" si="45"/>
        <v>5</v>
      </c>
      <c r="H491">
        <f t="shared" si="46"/>
        <v>7</v>
      </c>
      <c r="I491">
        <f t="shared" si="47"/>
        <v>18</v>
      </c>
      <c r="J491" t="str" cm="1">
        <f t="array" ref="J491">_xlfn.IFS(H491&lt;6,"Weekday",H491&gt;5,"Weekend")</f>
        <v>Weekend</v>
      </c>
    </row>
    <row r="492" spans="1:10" x14ac:dyDescent="0.25">
      <c r="A492" s="1">
        <v>45782</v>
      </c>
      <c r="B492" s="1" t="str" cm="1">
        <f t="array" ref="B492">_xlfn.IFS(H492=1,"Monday",H492=2,"Tuesday",H492=3,"Wednesday",H492=4,"Thursday",H492=5,"Friday",H492=6,"Saturday",H492=7,"Sunday")</f>
        <v>Monday</v>
      </c>
      <c r="C492" s="1">
        <f t="shared" si="42"/>
        <v>45782</v>
      </c>
      <c r="D492" s="1">
        <f t="shared" si="43"/>
        <v>45778</v>
      </c>
      <c r="E492" s="1" cm="1">
        <f t="array" ref="E492">DATE(YEAR(A492),_xlfn.IFS(MONTH(A492)&lt;=3,1,MONTH(A492)&lt;=6,4,MONTH(A492)&lt;=9,7,MONTH(A492)&lt;=12,10),1)</f>
        <v>45748</v>
      </c>
      <c r="F492" s="1">
        <f t="shared" si="44"/>
        <v>45658</v>
      </c>
      <c r="G492">
        <f t="shared" si="45"/>
        <v>5</v>
      </c>
      <c r="H492">
        <f t="shared" si="46"/>
        <v>1</v>
      </c>
      <c r="I492">
        <f t="shared" si="47"/>
        <v>19</v>
      </c>
      <c r="J492" t="str" cm="1">
        <f t="array" ref="J492">_xlfn.IFS(H492&lt;6,"Weekday",H492&gt;5,"Weekend")</f>
        <v>Weekday</v>
      </c>
    </row>
    <row r="493" spans="1:10" x14ac:dyDescent="0.25">
      <c r="A493" s="1">
        <v>45783</v>
      </c>
      <c r="B493" s="1" t="str" cm="1">
        <f t="array" ref="B493">_xlfn.IFS(H493=1,"Monday",H493=2,"Tuesday",H493=3,"Wednesday",H493=4,"Thursday",H493=5,"Friday",H493=6,"Saturday",H493=7,"Sunday")</f>
        <v>Tuesday</v>
      </c>
      <c r="C493" s="1">
        <f t="shared" si="42"/>
        <v>45782</v>
      </c>
      <c r="D493" s="1">
        <f t="shared" si="43"/>
        <v>45778</v>
      </c>
      <c r="E493" s="1" cm="1">
        <f t="array" ref="E493">DATE(YEAR(A493),_xlfn.IFS(MONTH(A493)&lt;=3,1,MONTH(A493)&lt;=6,4,MONTH(A493)&lt;=9,7,MONTH(A493)&lt;=12,10),1)</f>
        <v>45748</v>
      </c>
      <c r="F493" s="1">
        <f t="shared" si="44"/>
        <v>45658</v>
      </c>
      <c r="G493">
        <f t="shared" si="45"/>
        <v>5</v>
      </c>
      <c r="H493">
        <f t="shared" si="46"/>
        <v>2</v>
      </c>
      <c r="I493">
        <f t="shared" si="47"/>
        <v>19</v>
      </c>
      <c r="J493" t="str" cm="1">
        <f t="array" ref="J493">_xlfn.IFS(H493&lt;6,"Weekday",H493&gt;5,"Weekend")</f>
        <v>Weekday</v>
      </c>
    </row>
    <row r="494" spans="1:10" x14ac:dyDescent="0.25">
      <c r="A494" s="1">
        <v>45784</v>
      </c>
      <c r="B494" s="1" t="str" cm="1">
        <f t="array" ref="B494">_xlfn.IFS(H494=1,"Monday",H494=2,"Tuesday",H494=3,"Wednesday",H494=4,"Thursday",H494=5,"Friday",H494=6,"Saturday",H494=7,"Sunday")</f>
        <v>Wednesday</v>
      </c>
      <c r="C494" s="1">
        <f t="shared" si="42"/>
        <v>45782</v>
      </c>
      <c r="D494" s="1">
        <f t="shared" si="43"/>
        <v>45778</v>
      </c>
      <c r="E494" s="1" cm="1">
        <f t="array" ref="E494">DATE(YEAR(A494),_xlfn.IFS(MONTH(A494)&lt;=3,1,MONTH(A494)&lt;=6,4,MONTH(A494)&lt;=9,7,MONTH(A494)&lt;=12,10),1)</f>
        <v>45748</v>
      </c>
      <c r="F494" s="1">
        <f t="shared" si="44"/>
        <v>45658</v>
      </c>
      <c r="G494">
        <f t="shared" si="45"/>
        <v>5</v>
      </c>
      <c r="H494">
        <f t="shared" si="46"/>
        <v>3</v>
      </c>
      <c r="I494">
        <f t="shared" si="47"/>
        <v>19</v>
      </c>
      <c r="J494" t="str" cm="1">
        <f t="array" ref="J494">_xlfn.IFS(H494&lt;6,"Weekday",H494&gt;5,"Weekend")</f>
        <v>Weekday</v>
      </c>
    </row>
    <row r="495" spans="1:10" x14ac:dyDescent="0.25">
      <c r="A495" s="1">
        <v>45785</v>
      </c>
      <c r="B495" s="1" t="str" cm="1">
        <f t="array" ref="B495">_xlfn.IFS(H495=1,"Monday",H495=2,"Tuesday",H495=3,"Wednesday",H495=4,"Thursday",H495=5,"Friday",H495=6,"Saturday",H495=7,"Sunday")</f>
        <v>Thursday</v>
      </c>
      <c r="C495" s="1">
        <f t="shared" si="42"/>
        <v>45782</v>
      </c>
      <c r="D495" s="1">
        <f t="shared" si="43"/>
        <v>45778</v>
      </c>
      <c r="E495" s="1" cm="1">
        <f t="array" ref="E495">DATE(YEAR(A495),_xlfn.IFS(MONTH(A495)&lt;=3,1,MONTH(A495)&lt;=6,4,MONTH(A495)&lt;=9,7,MONTH(A495)&lt;=12,10),1)</f>
        <v>45748</v>
      </c>
      <c r="F495" s="1">
        <f t="shared" si="44"/>
        <v>45658</v>
      </c>
      <c r="G495">
        <f t="shared" si="45"/>
        <v>5</v>
      </c>
      <c r="H495">
        <f t="shared" si="46"/>
        <v>4</v>
      </c>
      <c r="I495">
        <f t="shared" si="47"/>
        <v>19</v>
      </c>
      <c r="J495" t="str" cm="1">
        <f t="array" ref="J495">_xlfn.IFS(H495&lt;6,"Weekday",H495&gt;5,"Weekend")</f>
        <v>Weekday</v>
      </c>
    </row>
    <row r="496" spans="1:10" x14ac:dyDescent="0.25">
      <c r="A496" s="1">
        <v>45786</v>
      </c>
      <c r="B496" s="1" t="str" cm="1">
        <f t="array" ref="B496">_xlfn.IFS(H496=1,"Monday",H496=2,"Tuesday",H496=3,"Wednesday",H496=4,"Thursday",H496=5,"Friday",H496=6,"Saturday",H496=7,"Sunday")</f>
        <v>Friday</v>
      </c>
      <c r="C496" s="1">
        <f t="shared" si="42"/>
        <v>45782</v>
      </c>
      <c r="D496" s="1">
        <f t="shared" si="43"/>
        <v>45778</v>
      </c>
      <c r="E496" s="1" cm="1">
        <f t="array" ref="E496">DATE(YEAR(A496),_xlfn.IFS(MONTH(A496)&lt;=3,1,MONTH(A496)&lt;=6,4,MONTH(A496)&lt;=9,7,MONTH(A496)&lt;=12,10),1)</f>
        <v>45748</v>
      </c>
      <c r="F496" s="1">
        <f t="shared" si="44"/>
        <v>45658</v>
      </c>
      <c r="G496">
        <f t="shared" si="45"/>
        <v>5</v>
      </c>
      <c r="H496">
        <f t="shared" si="46"/>
        <v>5</v>
      </c>
      <c r="I496">
        <f t="shared" si="47"/>
        <v>19</v>
      </c>
      <c r="J496" t="str" cm="1">
        <f t="array" ref="J496">_xlfn.IFS(H496&lt;6,"Weekday",H496&gt;5,"Weekend")</f>
        <v>Weekday</v>
      </c>
    </row>
    <row r="497" spans="1:10" x14ac:dyDescent="0.25">
      <c r="A497" s="1">
        <v>45787</v>
      </c>
      <c r="B497" s="1" t="str" cm="1">
        <f t="array" ref="B497">_xlfn.IFS(H497=1,"Monday",H497=2,"Tuesday",H497=3,"Wednesday",H497=4,"Thursday",H497=5,"Friday",H497=6,"Saturday",H497=7,"Sunday")</f>
        <v>Saturday</v>
      </c>
      <c r="C497" s="1">
        <f t="shared" si="42"/>
        <v>45782</v>
      </c>
      <c r="D497" s="1">
        <f t="shared" si="43"/>
        <v>45778</v>
      </c>
      <c r="E497" s="1" cm="1">
        <f t="array" ref="E497">DATE(YEAR(A497),_xlfn.IFS(MONTH(A497)&lt;=3,1,MONTH(A497)&lt;=6,4,MONTH(A497)&lt;=9,7,MONTH(A497)&lt;=12,10),1)</f>
        <v>45748</v>
      </c>
      <c r="F497" s="1">
        <f t="shared" si="44"/>
        <v>45658</v>
      </c>
      <c r="G497">
        <f t="shared" si="45"/>
        <v>5</v>
      </c>
      <c r="H497">
        <f t="shared" si="46"/>
        <v>6</v>
      </c>
      <c r="I497">
        <f t="shared" si="47"/>
        <v>19</v>
      </c>
      <c r="J497" t="str" cm="1">
        <f t="array" ref="J497">_xlfn.IFS(H497&lt;6,"Weekday",H497&gt;5,"Weekend")</f>
        <v>Weekend</v>
      </c>
    </row>
    <row r="498" spans="1:10" x14ac:dyDescent="0.25">
      <c r="A498" s="1">
        <v>45788</v>
      </c>
      <c r="B498" s="1" t="str" cm="1">
        <f t="array" ref="B498">_xlfn.IFS(H498=1,"Monday",H498=2,"Tuesday",H498=3,"Wednesday",H498=4,"Thursday",H498=5,"Friday",H498=6,"Saturday",H498=7,"Sunday")</f>
        <v>Sunday</v>
      </c>
      <c r="C498" s="1">
        <f t="shared" si="42"/>
        <v>45782</v>
      </c>
      <c r="D498" s="1">
        <f t="shared" si="43"/>
        <v>45778</v>
      </c>
      <c r="E498" s="1" cm="1">
        <f t="array" ref="E498">DATE(YEAR(A498),_xlfn.IFS(MONTH(A498)&lt;=3,1,MONTH(A498)&lt;=6,4,MONTH(A498)&lt;=9,7,MONTH(A498)&lt;=12,10),1)</f>
        <v>45748</v>
      </c>
      <c r="F498" s="1">
        <f t="shared" si="44"/>
        <v>45658</v>
      </c>
      <c r="G498">
        <f t="shared" si="45"/>
        <v>5</v>
      </c>
      <c r="H498">
        <f t="shared" si="46"/>
        <v>7</v>
      </c>
      <c r="I498">
        <f t="shared" si="47"/>
        <v>19</v>
      </c>
      <c r="J498" t="str" cm="1">
        <f t="array" ref="J498">_xlfn.IFS(H498&lt;6,"Weekday",H498&gt;5,"Weekend")</f>
        <v>Weekend</v>
      </c>
    </row>
    <row r="499" spans="1:10" x14ac:dyDescent="0.25">
      <c r="A499" s="1">
        <v>45789</v>
      </c>
      <c r="B499" s="1" t="str" cm="1">
        <f t="array" ref="B499">_xlfn.IFS(H499=1,"Monday",H499=2,"Tuesday",H499=3,"Wednesday",H499=4,"Thursday",H499=5,"Friday",H499=6,"Saturday",H499=7,"Sunday")</f>
        <v>Monday</v>
      </c>
      <c r="C499" s="1">
        <f t="shared" si="42"/>
        <v>45789</v>
      </c>
      <c r="D499" s="1">
        <f t="shared" si="43"/>
        <v>45778</v>
      </c>
      <c r="E499" s="1" cm="1">
        <f t="array" ref="E499">DATE(YEAR(A499),_xlfn.IFS(MONTH(A499)&lt;=3,1,MONTH(A499)&lt;=6,4,MONTH(A499)&lt;=9,7,MONTH(A499)&lt;=12,10),1)</f>
        <v>45748</v>
      </c>
      <c r="F499" s="1">
        <f t="shared" si="44"/>
        <v>45658</v>
      </c>
      <c r="G499">
        <f t="shared" si="45"/>
        <v>5</v>
      </c>
      <c r="H499">
        <f t="shared" si="46"/>
        <v>1</v>
      </c>
      <c r="I499">
        <f t="shared" si="47"/>
        <v>20</v>
      </c>
      <c r="J499" t="str" cm="1">
        <f t="array" ref="J499">_xlfn.IFS(H499&lt;6,"Weekday",H499&gt;5,"Weekend")</f>
        <v>Weekday</v>
      </c>
    </row>
    <row r="500" spans="1:10" x14ac:dyDescent="0.25">
      <c r="A500" s="1">
        <v>45790</v>
      </c>
      <c r="B500" s="1" t="str" cm="1">
        <f t="array" ref="B500">_xlfn.IFS(H500=1,"Monday",H500=2,"Tuesday",H500=3,"Wednesday",H500=4,"Thursday",H500=5,"Friday",H500=6,"Saturday",H500=7,"Sunday")</f>
        <v>Tuesday</v>
      </c>
      <c r="C500" s="1">
        <f t="shared" si="42"/>
        <v>45789</v>
      </c>
      <c r="D500" s="1">
        <f t="shared" si="43"/>
        <v>45778</v>
      </c>
      <c r="E500" s="1" cm="1">
        <f t="array" ref="E500">DATE(YEAR(A500),_xlfn.IFS(MONTH(A500)&lt;=3,1,MONTH(A500)&lt;=6,4,MONTH(A500)&lt;=9,7,MONTH(A500)&lt;=12,10),1)</f>
        <v>45748</v>
      </c>
      <c r="F500" s="1">
        <f t="shared" si="44"/>
        <v>45658</v>
      </c>
      <c r="G500">
        <f t="shared" si="45"/>
        <v>5</v>
      </c>
      <c r="H500">
        <f t="shared" si="46"/>
        <v>2</v>
      </c>
      <c r="I500">
        <f t="shared" si="47"/>
        <v>20</v>
      </c>
      <c r="J500" t="str" cm="1">
        <f t="array" ref="J500">_xlfn.IFS(H500&lt;6,"Weekday",H500&gt;5,"Weekend")</f>
        <v>Weekday</v>
      </c>
    </row>
    <row r="501" spans="1:10" x14ac:dyDescent="0.25">
      <c r="A501" s="1">
        <v>45791</v>
      </c>
      <c r="B501" s="1" t="str" cm="1">
        <f t="array" ref="B501">_xlfn.IFS(H501=1,"Monday",H501=2,"Tuesday",H501=3,"Wednesday",H501=4,"Thursday",H501=5,"Friday",H501=6,"Saturday",H501=7,"Sunday")</f>
        <v>Wednesday</v>
      </c>
      <c r="C501" s="1">
        <f t="shared" si="42"/>
        <v>45789</v>
      </c>
      <c r="D501" s="1">
        <f t="shared" si="43"/>
        <v>45778</v>
      </c>
      <c r="E501" s="1" cm="1">
        <f t="array" ref="E501">DATE(YEAR(A501),_xlfn.IFS(MONTH(A501)&lt;=3,1,MONTH(A501)&lt;=6,4,MONTH(A501)&lt;=9,7,MONTH(A501)&lt;=12,10),1)</f>
        <v>45748</v>
      </c>
      <c r="F501" s="1">
        <f t="shared" si="44"/>
        <v>45658</v>
      </c>
      <c r="G501">
        <f t="shared" si="45"/>
        <v>5</v>
      </c>
      <c r="H501">
        <f t="shared" si="46"/>
        <v>3</v>
      </c>
      <c r="I501">
        <f t="shared" si="47"/>
        <v>20</v>
      </c>
      <c r="J501" t="str" cm="1">
        <f t="array" ref="J501">_xlfn.IFS(H501&lt;6,"Weekday",H501&gt;5,"Weekend")</f>
        <v>Weekday</v>
      </c>
    </row>
    <row r="502" spans="1:10" x14ac:dyDescent="0.25">
      <c r="A502" s="1">
        <v>45792</v>
      </c>
      <c r="B502" s="1" t="str" cm="1">
        <f t="array" ref="B502">_xlfn.IFS(H502=1,"Monday",H502=2,"Tuesday",H502=3,"Wednesday",H502=4,"Thursday",H502=5,"Friday",H502=6,"Saturday",H502=7,"Sunday")</f>
        <v>Thursday</v>
      </c>
      <c r="C502" s="1">
        <f t="shared" si="42"/>
        <v>45789</v>
      </c>
      <c r="D502" s="1">
        <f t="shared" si="43"/>
        <v>45778</v>
      </c>
      <c r="E502" s="1" cm="1">
        <f t="array" ref="E502">DATE(YEAR(A502),_xlfn.IFS(MONTH(A502)&lt;=3,1,MONTH(A502)&lt;=6,4,MONTH(A502)&lt;=9,7,MONTH(A502)&lt;=12,10),1)</f>
        <v>45748</v>
      </c>
      <c r="F502" s="1">
        <f t="shared" si="44"/>
        <v>45658</v>
      </c>
      <c r="G502">
        <f t="shared" si="45"/>
        <v>5</v>
      </c>
      <c r="H502">
        <f t="shared" si="46"/>
        <v>4</v>
      </c>
      <c r="I502">
        <f t="shared" si="47"/>
        <v>20</v>
      </c>
      <c r="J502" t="str" cm="1">
        <f t="array" ref="J502">_xlfn.IFS(H502&lt;6,"Weekday",H502&gt;5,"Weekend")</f>
        <v>Weekday</v>
      </c>
    </row>
    <row r="503" spans="1:10" x14ac:dyDescent="0.25">
      <c r="A503" s="1">
        <v>45793</v>
      </c>
      <c r="B503" s="1" t="str" cm="1">
        <f t="array" ref="B503">_xlfn.IFS(H503=1,"Monday",H503=2,"Tuesday",H503=3,"Wednesday",H503=4,"Thursday",H503=5,"Friday",H503=6,"Saturday",H503=7,"Sunday")</f>
        <v>Friday</v>
      </c>
      <c r="C503" s="1">
        <f t="shared" si="42"/>
        <v>45789</v>
      </c>
      <c r="D503" s="1">
        <f t="shared" si="43"/>
        <v>45778</v>
      </c>
      <c r="E503" s="1" cm="1">
        <f t="array" ref="E503">DATE(YEAR(A503),_xlfn.IFS(MONTH(A503)&lt;=3,1,MONTH(A503)&lt;=6,4,MONTH(A503)&lt;=9,7,MONTH(A503)&lt;=12,10),1)</f>
        <v>45748</v>
      </c>
      <c r="F503" s="1">
        <f t="shared" si="44"/>
        <v>45658</v>
      </c>
      <c r="G503">
        <f t="shared" si="45"/>
        <v>5</v>
      </c>
      <c r="H503">
        <f t="shared" si="46"/>
        <v>5</v>
      </c>
      <c r="I503">
        <f t="shared" si="47"/>
        <v>20</v>
      </c>
      <c r="J503" t="str" cm="1">
        <f t="array" ref="J503">_xlfn.IFS(H503&lt;6,"Weekday",H503&gt;5,"Weekend")</f>
        <v>Weekday</v>
      </c>
    </row>
    <row r="504" spans="1:10" x14ac:dyDescent="0.25">
      <c r="A504" s="1">
        <v>45794</v>
      </c>
      <c r="B504" s="1" t="str" cm="1">
        <f t="array" ref="B504">_xlfn.IFS(H504=1,"Monday",H504=2,"Tuesday",H504=3,"Wednesday",H504=4,"Thursday",H504=5,"Friday",H504=6,"Saturday",H504=7,"Sunday")</f>
        <v>Saturday</v>
      </c>
      <c r="C504" s="1">
        <f t="shared" si="42"/>
        <v>45789</v>
      </c>
      <c r="D504" s="1">
        <f t="shared" si="43"/>
        <v>45778</v>
      </c>
      <c r="E504" s="1" cm="1">
        <f t="array" ref="E504">DATE(YEAR(A504),_xlfn.IFS(MONTH(A504)&lt;=3,1,MONTH(A504)&lt;=6,4,MONTH(A504)&lt;=9,7,MONTH(A504)&lt;=12,10),1)</f>
        <v>45748</v>
      </c>
      <c r="F504" s="1">
        <f t="shared" si="44"/>
        <v>45658</v>
      </c>
      <c r="G504">
        <f t="shared" si="45"/>
        <v>5</v>
      </c>
      <c r="H504">
        <f t="shared" si="46"/>
        <v>6</v>
      </c>
      <c r="I504">
        <f t="shared" si="47"/>
        <v>20</v>
      </c>
      <c r="J504" t="str" cm="1">
        <f t="array" ref="J504">_xlfn.IFS(H504&lt;6,"Weekday",H504&gt;5,"Weekend")</f>
        <v>Weekend</v>
      </c>
    </row>
    <row r="505" spans="1:10" x14ac:dyDescent="0.25">
      <c r="A505" s="1">
        <v>45795</v>
      </c>
      <c r="B505" s="1" t="str" cm="1">
        <f t="array" ref="B505">_xlfn.IFS(H505=1,"Monday",H505=2,"Tuesday",H505=3,"Wednesday",H505=4,"Thursday",H505=5,"Friday",H505=6,"Saturday",H505=7,"Sunday")</f>
        <v>Sunday</v>
      </c>
      <c r="C505" s="1">
        <f t="shared" si="42"/>
        <v>45789</v>
      </c>
      <c r="D505" s="1">
        <f t="shared" si="43"/>
        <v>45778</v>
      </c>
      <c r="E505" s="1" cm="1">
        <f t="array" ref="E505">DATE(YEAR(A505),_xlfn.IFS(MONTH(A505)&lt;=3,1,MONTH(A505)&lt;=6,4,MONTH(A505)&lt;=9,7,MONTH(A505)&lt;=12,10),1)</f>
        <v>45748</v>
      </c>
      <c r="F505" s="1">
        <f t="shared" si="44"/>
        <v>45658</v>
      </c>
      <c r="G505">
        <f t="shared" si="45"/>
        <v>5</v>
      </c>
      <c r="H505">
        <f t="shared" si="46"/>
        <v>7</v>
      </c>
      <c r="I505">
        <f t="shared" si="47"/>
        <v>20</v>
      </c>
      <c r="J505" t="str" cm="1">
        <f t="array" ref="J505">_xlfn.IFS(H505&lt;6,"Weekday",H505&gt;5,"Weekend")</f>
        <v>Weekend</v>
      </c>
    </row>
    <row r="506" spans="1:10" x14ac:dyDescent="0.25">
      <c r="A506" s="1">
        <v>45796</v>
      </c>
      <c r="B506" s="1" t="str" cm="1">
        <f t="array" ref="B506">_xlfn.IFS(H506=1,"Monday",H506=2,"Tuesday",H506=3,"Wednesday",H506=4,"Thursday",H506=5,"Friday",H506=6,"Saturday",H506=7,"Sunday")</f>
        <v>Monday</v>
      </c>
      <c r="C506" s="1">
        <f t="shared" si="42"/>
        <v>45796</v>
      </c>
      <c r="D506" s="1">
        <f t="shared" si="43"/>
        <v>45778</v>
      </c>
      <c r="E506" s="1" cm="1">
        <f t="array" ref="E506">DATE(YEAR(A506),_xlfn.IFS(MONTH(A506)&lt;=3,1,MONTH(A506)&lt;=6,4,MONTH(A506)&lt;=9,7,MONTH(A506)&lt;=12,10),1)</f>
        <v>45748</v>
      </c>
      <c r="F506" s="1">
        <f t="shared" si="44"/>
        <v>45658</v>
      </c>
      <c r="G506">
        <f t="shared" si="45"/>
        <v>5</v>
      </c>
      <c r="H506">
        <f t="shared" si="46"/>
        <v>1</v>
      </c>
      <c r="I506">
        <f t="shared" si="47"/>
        <v>21</v>
      </c>
      <c r="J506" t="str" cm="1">
        <f t="array" ref="J506">_xlfn.IFS(H506&lt;6,"Weekday",H506&gt;5,"Weekend")</f>
        <v>Weekday</v>
      </c>
    </row>
    <row r="507" spans="1:10" x14ac:dyDescent="0.25">
      <c r="A507" s="1">
        <v>45797</v>
      </c>
      <c r="B507" s="1" t="str" cm="1">
        <f t="array" ref="B507">_xlfn.IFS(H507=1,"Monday",H507=2,"Tuesday",H507=3,"Wednesday",H507=4,"Thursday",H507=5,"Friday",H507=6,"Saturday",H507=7,"Sunday")</f>
        <v>Tuesday</v>
      </c>
      <c r="C507" s="1">
        <f t="shared" si="42"/>
        <v>45796</v>
      </c>
      <c r="D507" s="1">
        <f t="shared" si="43"/>
        <v>45778</v>
      </c>
      <c r="E507" s="1" cm="1">
        <f t="array" ref="E507">DATE(YEAR(A507),_xlfn.IFS(MONTH(A507)&lt;=3,1,MONTH(A507)&lt;=6,4,MONTH(A507)&lt;=9,7,MONTH(A507)&lt;=12,10),1)</f>
        <v>45748</v>
      </c>
      <c r="F507" s="1">
        <f t="shared" si="44"/>
        <v>45658</v>
      </c>
      <c r="G507">
        <f t="shared" si="45"/>
        <v>5</v>
      </c>
      <c r="H507">
        <f t="shared" si="46"/>
        <v>2</v>
      </c>
      <c r="I507">
        <f t="shared" si="47"/>
        <v>21</v>
      </c>
      <c r="J507" t="str" cm="1">
        <f t="array" ref="J507">_xlfn.IFS(H507&lt;6,"Weekday",H507&gt;5,"Weekend")</f>
        <v>Weekday</v>
      </c>
    </row>
    <row r="508" spans="1:10" x14ac:dyDescent="0.25">
      <c r="A508" s="1">
        <v>45798</v>
      </c>
      <c r="B508" s="1" t="str" cm="1">
        <f t="array" ref="B508">_xlfn.IFS(H508=1,"Monday",H508=2,"Tuesday",H508=3,"Wednesday",H508=4,"Thursday",H508=5,"Friday",H508=6,"Saturday",H508=7,"Sunday")</f>
        <v>Wednesday</v>
      </c>
      <c r="C508" s="1">
        <f t="shared" si="42"/>
        <v>45796</v>
      </c>
      <c r="D508" s="1">
        <f t="shared" si="43"/>
        <v>45778</v>
      </c>
      <c r="E508" s="1" cm="1">
        <f t="array" ref="E508">DATE(YEAR(A508),_xlfn.IFS(MONTH(A508)&lt;=3,1,MONTH(A508)&lt;=6,4,MONTH(A508)&lt;=9,7,MONTH(A508)&lt;=12,10),1)</f>
        <v>45748</v>
      </c>
      <c r="F508" s="1">
        <f t="shared" si="44"/>
        <v>45658</v>
      </c>
      <c r="G508">
        <f t="shared" si="45"/>
        <v>5</v>
      </c>
      <c r="H508">
        <f t="shared" si="46"/>
        <v>3</v>
      </c>
      <c r="I508">
        <f t="shared" si="47"/>
        <v>21</v>
      </c>
      <c r="J508" t="str" cm="1">
        <f t="array" ref="J508">_xlfn.IFS(H508&lt;6,"Weekday",H508&gt;5,"Weekend")</f>
        <v>Weekday</v>
      </c>
    </row>
    <row r="509" spans="1:10" x14ac:dyDescent="0.25">
      <c r="A509" s="1">
        <v>45799</v>
      </c>
      <c r="B509" s="3" t="str" cm="1">
        <f t="array" ref="B509">_xlfn.IFS(H509=1,"Monday",H509=2,"Tuesday",H509=3,"Wednesday",H509=4,"Thursday",H509=5,"Friday",H509=6,"Saturday",H509=7,"Sunday")</f>
        <v>Thursday</v>
      </c>
      <c r="C509" s="1">
        <f t="shared" ref="C509:C527" si="48">A509-WEEKDAY(A509,2)+1</f>
        <v>45796</v>
      </c>
      <c r="D509" s="1">
        <f t="shared" ref="D509:D527" si="49">DATE(YEAR(A509),MONTH(A509),1)</f>
        <v>45778</v>
      </c>
      <c r="E509" s="1" cm="1">
        <f t="array" ref="E509">DATE(YEAR(A509),_xlfn.IFS(MONTH(A509)&lt;=3,1,MONTH(A509)&lt;=6,4,MONTH(A509)&lt;=9,7,MONTH(A509)&lt;=12,10),1)</f>
        <v>45748</v>
      </c>
      <c r="F509" s="1">
        <f t="shared" ref="F509:F527" si="50">DATE(YEAR(A509),1,1)</f>
        <v>45658</v>
      </c>
      <c r="G509">
        <f t="shared" ref="G509:G527" si="51">MONTH(A509)</f>
        <v>5</v>
      </c>
      <c r="H509">
        <f t="shared" ref="H509:H527" si="52">WEEKDAY(A509,2)</f>
        <v>4</v>
      </c>
      <c r="I509">
        <f t="shared" ref="I509:I527" si="53">_xlfn.ISOWEEKNUM(A509)</f>
        <v>21</v>
      </c>
      <c r="J509" t="str" cm="1">
        <f t="array" ref="J509">_xlfn.IFS(H509&lt;6,"Weekday",H509&gt;5,"Weekend")</f>
        <v>Weekday</v>
      </c>
    </row>
    <row r="510" spans="1:10" x14ac:dyDescent="0.25">
      <c r="A510" s="1">
        <v>45800</v>
      </c>
      <c r="B510" s="3" t="str" cm="1">
        <f t="array" ref="B510">_xlfn.IFS(H510=1,"Monday",H510=2,"Tuesday",H510=3,"Wednesday",H510=4,"Thursday",H510=5,"Friday",H510=6,"Saturday",H510=7,"Sunday")</f>
        <v>Friday</v>
      </c>
      <c r="C510" s="1">
        <f t="shared" si="48"/>
        <v>45796</v>
      </c>
      <c r="D510" s="1">
        <f t="shared" si="49"/>
        <v>45778</v>
      </c>
      <c r="E510" s="1" cm="1">
        <f t="array" ref="E510">DATE(YEAR(A510),_xlfn.IFS(MONTH(A510)&lt;=3,1,MONTH(A510)&lt;=6,4,MONTH(A510)&lt;=9,7,MONTH(A510)&lt;=12,10),1)</f>
        <v>45748</v>
      </c>
      <c r="F510" s="1">
        <f t="shared" si="50"/>
        <v>45658</v>
      </c>
      <c r="G510">
        <f t="shared" si="51"/>
        <v>5</v>
      </c>
      <c r="H510">
        <f t="shared" si="52"/>
        <v>5</v>
      </c>
      <c r="I510">
        <f t="shared" si="53"/>
        <v>21</v>
      </c>
      <c r="J510" t="str" cm="1">
        <f t="array" ref="J510">_xlfn.IFS(H510&lt;6,"Weekday",H510&gt;5,"Weekend")</f>
        <v>Weekday</v>
      </c>
    </row>
    <row r="511" spans="1:10" x14ac:dyDescent="0.25">
      <c r="A511" s="1">
        <v>45801</v>
      </c>
      <c r="B511" s="3" t="str" cm="1">
        <f t="array" ref="B511">_xlfn.IFS(H511=1,"Monday",H511=2,"Tuesday",H511=3,"Wednesday",H511=4,"Thursday",H511=5,"Friday",H511=6,"Saturday",H511=7,"Sunday")</f>
        <v>Saturday</v>
      </c>
      <c r="C511" s="1">
        <f t="shared" si="48"/>
        <v>45796</v>
      </c>
      <c r="D511" s="1">
        <f t="shared" si="49"/>
        <v>45778</v>
      </c>
      <c r="E511" s="1" cm="1">
        <f t="array" ref="E511">DATE(YEAR(A511),_xlfn.IFS(MONTH(A511)&lt;=3,1,MONTH(A511)&lt;=6,4,MONTH(A511)&lt;=9,7,MONTH(A511)&lt;=12,10),1)</f>
        <v>45748</v>
      </c>
      <c r="F511" s="1">
        <f t="shared" si="50"/>
        <v>45658</v>
      </c>
      <c r="G511">
        <f t="shared" si="51"/>
        <v>5</v>
      </c>
      <c r="H511">
        <f t="shared" si="52"/>
        <v>6</v>
      </c>
      <c r="I511">
        <f t="shared" si="53"/>
        <v>21</v>
      </c>
      <c r="J511" t="str" cm="1">
        <f t="array" ref="J511">_xlfn.IFS(H511&lt;6,"Weekday",H511&gt;5,"Weekend")</f>
        <v>Weekend</v>
      </c>
    </row>
    <row r="512" spans="1:10" x14ac:dyDescent="0.25">
      <c r="A512" s="1">
        <v>45802</v>
      </c>
      <c r="B512" s="3" t="str" cm="1">
        <f t="array" ref="B512">_xlfn.IFS(H512=1,"Monday",H512=2,"Tuesday",H512=3,"Wednesday",H512=4,"Thursday",H512=5,"Friday",H512=6,"Saturday",H512=7,"Sunday")</f>
        <v>Sunday</v>
      </c>
      <c r="C512" s="1">
        <f t="shared" si="48"/>
        <v>45796</v>
      </c>
      <c r="D512" s="1">
        <f t="shared" si="49"/>
        <v>45778</v>
      </c>
      <c r="E512" s="1" cm="1">
        <f t="array" ref="E512">DATE(YEAR(A512),_xlfn.IFS(MONTH(A512)&lt;=3,1,MONTH(A512)&lt;=6,4,MONTH(A512)&lt;=9,7,MONTH(A512)&lt;=12,10),1)</f>
        <v>45748</v>
      </c>
      <c r="F512" s="1">
        <f t="shared" si="50"/>
        <v>45658</v>
      </c>
      <c r="G512">
        <f t="shared" si="51"/>
        <v>5</v>
      </c>
      <c r="H512">
        <f t="shared" si="52"/>
        <v>7</v>
      </c>
      <c r="I512">
        <f t="shared" si="53"/>
        <v>21</v>
      </c>
      <c r="J512" t="str" cm="1">
        <f t="array" ref="J512">_xlfn.IFS(H512&lt;6,"Weekday",H512&gt;5,"Weekend")</f>
        <v>Weekend</v>
      </c>
    </row>
    <row r="513" spans="1:10" x14ac:dyDescent="0.25">
      <c r="A513" s="1">
        <v>45803</v>
      </c>
      <c r="B513" s="3" t="str" cm="1">
        <f t="array" ref="B513">_xlfn.IFS(H513=1,"Monday",H513=2,"Tuesday",H513=3,"Wednesday",H513=4,"Thursday",H513=5,"Friday",H513=6,"Saturday",H513=7,"Sunday")</f>
        <v>Monday</v>
      </c>
      <c r="C513" s="1">
        <f t="shared" si="48"/>
        <v>45803</v>
      </c>
      <c r="D513" s="1">
        <f t="shared" si="49"/>
        <v>45778</v>
      </c>
      <c r="E513" s="1" cm="1">
        <f t="array" ref="E513">DATE(YEAR(A513),_xlfn.IFS(MONTH(A513)&lt;=3,1,MONTH(A513)&lt;=6,4,MONTH(A513)&lt;=9,7,MONTH(A513)&lt;=12,10),1)</f>
        <v>45748</v>
      </c>
      <c r="F513" s="1">
        <f t="shared" si="50"/>
        <v>45658</v>
      </c>
      <c r="G513">
        <f t="shared" si="51"/>
        <v>5</v>
      </c>
      <c r="H513">
        <f t="shared" si="52"/>
        <v>1</v>
      </c>
      <c r="I513">
        <f t="shared" si="53"/>
        <v>22</v>
      </c>
      <c r="J513" t="str" cm="1">
        <f t="array" ref="J513">_xlfn.IFS(H513&lt;6,"Weekday",H513&gt;5,"Weekend")</f>
        <v>Weekday</v>
      </c>
    </row>
    <row r="514" spans="1:10" x14ac:dyDescent="0.25">
      <c r="A514" s="1">
        <v>45804</v>
      </c>
      <c r="B514" s="3" t="str" cm="1">
        <f t="array" ref="B514">_xlfn.IFS(H514=1,"Monday",H514=2,"Tuesday",H514=3,"Wednesday",H514=4,"Thursday",H514=5,"Friday",H514=6,"Saturday",H514=7,"Sunday")</f>
        <v>Tuesday</v>
      </c>
      <c r="C514" s="1">
        <f t="shared" si="48"/>
        <v>45803</v>
      </c>
      <c r="D514" s="1">
        <f t="shared" si="49"/>
        <v>45778</v>
      </c>
      <c r="E514" s="1" cm="1">
        <f t="array" ref="E514">DATE(YEAR(A514),_xlfn.IFS(MONTH(A514)&lt;=3,1,MONTH(A514)&lt;=6,4,MONTH(A514)&lt;=9,7,MONTH(A514)&lt;=12,10),1)</f>
        <v>45748</v>
      </c>
      <c r="F514" s="1">
        <f t="shared" si="50"/>
        <v>45658</v>
      </c>
      <c r="G514">
        <f t="shared" si="51"/>
        <v>5</v>
      </c>
      <c r="H514">
        <f t="shared" si="52"/>
        <v>2</v>
      </c>
      <c r="I514">
        <f t="shared" si="53"/>
        <v>22</v>
      </c>
      <c r="J514" t="str" cm="1">
        <f t="array" ref="J514">_xlfn.IFS(H514&lt;6,"Weekday",H514&gt;5,"Weekend")</f>
        <v>Weekday</v>
      </c>
    </row>
    <row r="515" spans="1:10" x14ac:dyDescent="0.25">
      <c r="A515" s="1">
        <v>45805</v>
      </c>
      <c r="B515" s="3" t="str" cm="1">
        <f t="array" ref="B515">_xlfn.IFS(H515=1,"Monday",H515=2,"Tuesday",H515=3,"Wednesday",H515=4,"Thursday",H515=5,"Friday",H515=6,"Saturday",H515=7,"Sunday")</f>
        <v>Wednesday</v>
      </c>
      <c r="C515" s="1">
        <f t="shared" si="48"/>
        <v>45803</v>
      </c>
      <c r="D515" s="1">
        <f t="shared" si="49"/>
        <v>45778</v>
      </c>
      <c r="E515" s="1" cm="1">
        <f t="array" ref="E515">DATE(YEAR(A515),_xlfn.IFS(MONTH(A515)&lt;=3,1,MONTH(A515)&lt;=6,4,MONTH(A515)&lt;=9,7,MONTH(A515)&lt;=12,10),1)</f>
        <v>45748</v>
      </c>
      <c r="F515" s="1">
        <f t="shared" si="50"/>
        <v>45658</v>
      </c>
      <c r="G515">
        <f t="shared" si="51"/>
        <v>5</v>
      </c>
      <c r="H515">
        <f t="shared" si="52"/>
        <v>3</v>
      </c>
      <c r="I515">
        <f t="shared" si="53"/>
        <v>22</v>
      </c>
      <c r="J515" t="str" cm="1">
        <f t="array" ref="J515">_xlfn.IFS(H515&lt;6,"Weekday",H515&gt;5,"Weekend")</f>
        <v>Weekday</v>
      </c>
    </row>
    <row r="516" spans="1:10" x14ac:dyDescent="0.25">
      <c r="A516" s="1">
        <v>45806</v>
      </c>
      <c r="B516" s="3" t="str" cm="1">
        <f t="array" ref="B516">_xlfn.IFS(H516=1,"Monday",H516=2,"Tuesday",H516=3,"Wednesday",H516=4,"Thursday",H516=5,"Friday",H516=6,"Saturday",H516=7,"Sunday")</f>
        <v>Thursday</v>
      </c>
      <c r="C516" s="1">
        <f t="shared" si="48"/>
        <v>45803</v>
      </c>
      <c r="D516" s="1">
        <f t="shared" si="49"/>
        <v>45778</v>
      </c>
      <c r="E516" s="1" cm="1">
        <f t="array" ref="E516">DATE(YEAR(A516),_xlfn.IFS(MONTH(A516)&lt;=3,1,MONTH(A516)&lt;=6,4,MONTH(A516)&lt;=9,7,MONTH(A516)&lt;=12,10),1)</f>
        <v>45748</v>
      </c>
      <c r="F516" s="1">
        <f t="shared" si="50"/>
        <v>45658</v>
      </c>
      <c r="G516">
        <f t="shared" si="51"/>
        <v>5</v>
      </c>
      <c r="H516">
        <f t="shared" si="52"/>
        <v>4</v>
      </c>
      <c r="I516">
        <f t="shared" si="53"/>
        <v>22</v>
      </c>
      <c r="J516" t="str" cm="1">
        <f t="array" ref="J516">_xlfn.IFS(H516&lt;6,"Weekday",H516&gt;5,"Weekend")</f>
        <v>Weekday</v>
      </c>
    </row>
    <row r="517" spans="1:10" x14ac:dyDescent="0.25">
      <c r="A517" s="1">
        <v>45807</v>
      </c>
      <c r="B517" s="3" t="str" cm="1">
        <f t="array" ref="B517">_xlfn.IFS(H517=1,"Monday",H517=2,"Tuesday",H517=3,"Wednesday",H517=4,"Thursday",H517=5,"Friday",H517=6,"Saturday",H517=7,"Sunday")</f>
        <v>Friday</v>
      </c>
      <c r="C517" s="1">
        <f t="shared" si="48"/>
        <v>45803</v>
      </c>
      <c r="D517" s="1">
        <f t="shared" si="49"/>
        <v>45778</v>
      </c>
      <c r="E517" s="1" cm="1">
        <f t="array" ref="E517">DATE(YEAR(A517),_xlfn.IFS(MONTH(A517)&lt;=3,1,MONTH(A517)&lt;=6,4,MONTH(A517)&lt;=9,7,MONTH(A517)&lt;=12,10),1)</f>
        <v>45748</v>
      </c>
      <c r="F517" s="1">
        <f t="shared" si="50"/>
        <v>45658</v>
      </c>
      <c r="G517">
        <f t="shared" si="51"/>
        <v>5</v>
      </c>
      <c r="H517">
        <f t="shared" si="52"/>
        <v>5</v>
      </c>
      <c r="I517">
        <f t="shared" si="53"/>
        <v>22</v>
      </c>
      <c r="J517" t="str" cm="1">
        <f t="array" ref="J517">_xlfn.IFS(H517&lt;6,"Weekday",H517&gt;5,"Weekend")</f>
        <v>Weekday</v>
      </c>
    </row>
    <row r="518" spans="1:10" x14ac:dyDescent="0.25">
      <c r="A518" s="1">
        <v>45808</v>
      </c>
      <c r="B518" s="3" t="str" cm="1">
        <f t="array" ref="B518">_xlfn.IFS(H518=1,"Monday",H518=2,"Tuesday",H518=3,"Wednesday",H518=4,"Thursday",H518=5,"Friday",H518=6,"Saturday",H518=7,"Sunday")</f>
        <v>Saturday</v>
      </c>
      <c r="C518" s="1">
        <f t="shared" si="48"/>
        <v>45803</v>
      </c>
      <c r="D518" s="1">
        <f t="shared" si="49"/>
        <v>45778</v>
      </c>
      <c r="E518" s="1" cm="1">
        <f t="array" ref="E518">DATE(YEAR(A518),_xlfn.IFS(MONTH(A518)&lt;=3,1,MONTH(A518)&lt;=6,4,MONTH(A518)&lt;=9,7,MONTH(A518)&lt;=12,10),1)</f>
        <v>45748</v>
      </c>
      <c r="F518" s="1">
        <f t="shared" si="50"/>
        <v>45658</v>
      </c>
      <c r="G518">
        <f t="shared" si="51"/>
        <v>5</v>
      </c>
      <c r="H518">
        <f t="shared" si="52"/>
        <v>6</v>
      </c>
      <c r="I518">
        <f t="shared" si="53"/>
        <v>22</v>
      </c>
      <c r="J518" t="str" cm="1">
        <f t="array" ref="J518">_xlfn.IFS(H518&lt;6,"Weekday",H518&gt;5,"Weekend")</f>
        <v>Weekend</v>
      </c>
    </row>
    <row r="519" spans="1:10" x14ac:dyDescent="0.25">
      <c r="A519" s="1">
        <v>45809</v>
      </c>
      <c r="B519" s="3" t="str" cm="1">
        <f t="array" ref="B519">_xlfn.IFS(H519=1,"Monday",H519=2,"Tuesday",H519=3,"Wednesday",H519=4,"Thursday",H519=5,"Friday",H519=6,"Saturday",H519=7,"Sunday")</f>
        <v>Sunday</v>
      </c>
      <c r="C519" s="1">
        <f t="shared" si="48"/>
        <v>45803</v>
      </c>
      <c r="D519" s="1">
        <f t="shared" si="49"/>
        <v>45809</v>
      </c>
      <c r="E519" s="1" cm="1">
        <f t="array" ref="E519">DATE(YEAR(A519),_xlfn.IFS(MONTH(A519)&lt;=3,1,MONTH(A519)&lt;=6,4,MONTH(A519)&lt;=9,7,MONTH(A519)&lt;=12,10),1)</f>
        <v>45748</v>
      </c>
      <c r="F519" s="1">
        <f t="shared" si="50"/>
        <v>45658</v>
      </c>
      <c r="G519">
        <f t="shared" si="51"/>
        <v>6</v>
      </c>
      <c r="H519">
        <f t="shared" si="52"/>
        <v>7</v>
      </c>
      <c r="I519">
        <f t="shared" si="53"/>
        <v>22</v>
      </c>
      <c r="J519" t="str" cm="1">
        <f t="array" ref="J519">_xlfn.IFS(H519&lt;6,"Weekday",H519&gt;5,"Weekend")</f>
        <v>Weekend</v>
      </c>
    </row>
    <row r="520" spans="1:10" x14ac:dyDescent="0.25">
      <c r="A520" s="1">
        <v>45810</v>
      </c>
      <c r="B520" s="3" t="str" cm="1">
        <f t="array" ref="B520">_xlfn.IFS(H520=1,"Monday",H520=2,"Tuesday",H520=3,"Wednesday",H520=4,"Thursday",H520=5,"Friday",H520=6,"Saturday",H520=7,"Sunday")</f>
        <v>Monday</v>
      </c>
      <c r="C520" s="1">
        <f t="shared" si="48"/>
        <v>45810</v>
      </c>
      <c r="D520" s="1">
        <f t="shared" si="49"/>
        <v>45809</v>
      </c>
      <c r="E520" s="1" cm="1">
        <f t="array" ref="E520">DATE(YEAR(A520),_xlfn.IFS(MONTH(A520)&lt;=3,1,MONTH(A520)&lt;=6,4,MONTH(A520)&lt;=9,7,MONTH(A520)&lt;=12,10),1)</f>
        <v>45748</v>
      </c>
      <c r="F520" s="1">
        <f t="shared" si="50"/>
        <v>45658</v>
      </c>
      <c r="G520">
        <f t="shared" si="51"/>
        <v>6</v>
      </c>
      <c r="H520">
        <f t="shared" si="52"/>
        <v>1</v>
      </c>
      <c r="I520">
        <f t="shared" si="53"/>
        <v>23</v>
      </c>
      <c r="J520" t="str" cm="1">
        <f t="array" ref="J520">_xlfn.IFS(H520&lt;6,"Weekday",H520&gt;5,"Weekend")</f>
        <v>Weekday</v>
      </c>
    </row>
    <row r="521" spans="1:10" x14ac:dyDescent="0.25">
      <c r="A521" s="1">
        <v>45811</v>
      </c>
      <c r="B521" s="3" t="str" cm="1">
        <f t="array" ref="B521">_xlfn.IFS(H521=1,"Monday",H521=2,"Tuesday",H521=3,"Wednesday",H521=4,"Thursday",H521=5,"Friday",H521=6,"Saturday",H521=7,"Sunday")</f>
        <v>Tuesday</v>
      </c>
      <c r="C521" s="1">
        <f t="shared" si="48"/>
        <v>45810</v>
      </c>
      <c r="D521" s="1">
        <f t="shared" si="49"/>
        <v>45809</v>
      </c>
      <c r="E521" s="1" cm="1">
        <f t="array" ref="E521">DATE(YEAR(A521),_xlfn.IFS(MONTH(A521)&lt;=3,1,MONTH(A521)&lt;=6,4,MONTH(A521)&lt;=9,7,MONTH(A521)&lt;=12,10),1)</f>
        <v>45748</v>
      </c>
      <c r="F521" s="1">
        <f t="shared" si="50"/>
        <v>45658</v>
      </c>
      <c r="G521">
        <f t="shared" si="51"/>
        <v>6</v>
      </c>
      <c r="H521">
        <f t="shared" si="52"/>
        <v>2</v>
      </c>
      <c r="I521">
        <f t="shared" si="53"/>
        <v>23</v>
      </c>
      <c r="J521" t="str" cm="1">
        <f t="array" ref="J521">_xlfn.IFS(H521&lt;6,"Weekday",H521&gt;5,"Weekend")</f>
        <v>Weekday</v>
      </c>
    </row>
    <row r="522" spans="1:10" x14ac:dyDescent="0.25">
      <c r="A522" s="1">
        <v>45812</v>
      </c>
      <c r="B522" s="3" t="str" cm="1">
        <f t="array" ref="B522">_xlfn.IFS(H522=1,"Monday",H522=2,"Tuesday",H522=3,"Wednesday",H522=4,"Thursday",H522=5,"Friday",H522=6,"Saturday",H522=7,"Sunday")</f>
        <v>Wednesday</v>
      </c>
      <c r="C522" s="1">
        <f t="shared" si="48"/>
        <v>45810</v>
      </c>
      <c r="D522" s="1">
        <f t="shared" si="49"/>
        <v>45809</v>
      </c>
      <c r="E522" s="1" cm="1">
        <f t="array" ref="E522">DATE(YEAR(A522),_xlfn.IFS(MONTH(A522)&lt;=3,1,MONTH(A522)&lt;=6,4,MONTH(A522)&lt;=9,7,MONTH(A522)&lt;=12,10),1)</f>
        <v>45748</v>
      </c>
      <c r="F522" s="1">
        <f t="shared" si="50"/>
        <v>45658</v>
      </c>
      <c r="G522">
        <f t="shared" si="51"/>
        <v>6</v>
      </c>
      <c r="H522">
        <f t="shared" si="52"/>
        <v>3</v>
      </c>
      <c r="I522">
        <f t="shared" si="53"/>
        <v>23</v>
      </c>
      <c r="J522" t="str" cm="1">
        <f t="array" ref="J522">_xlfn.IFS(H522&lt;6,"Weekday",H522&gt;5,"Weekend")</f>
        <v>Weekday</v>
      </c>
    </row>
    <row r="523" spans="1:10" x14ac:dyDescent="0.25">
      <c r="A523" s="1">
        <v>45813</v>
      </c>
      <c r="B523" s="3" t="str" cm="1">
        <f t="array" ref="B523">_xlfn.IFS(H523=1,"Monday",H523=2,"Tuesday",H523=3,"Wednesday",H523=4,"Thursday",H523=5,"Friday",H523=6,"Saturday",H523=7,"Sunday")</f>
        <v>Thursday</v>
      </c>
      <c r="C523" s="1">
        <f t="shared" si="48"/>
        <v>45810</v>
      </c>
      <c r="D523" s="1">
        <f t="shared" si="49"/>
        <v>45809</v>
      </c>
      <c r="E523" s="1" cm="1">
        <f t="array" ref="E523">DATE(YEAR(A523),_xlfn.IFS(MONTH(A523)&lt;=3,1,MONTH(A523)&lt;=6,4,MONTH(A523)&lt;=9,7,MONTH(A523)&lt;=12,10),1)</f>
        <v>45748</v>
      </c>
      <c r="F523" s="1">
        <f t="shared" si="50"/>
        <v>45658</v>
      </c>
      <c r="G523">
        <f t="shared" si="51"/>
        <v>6</v>
      </c>
      <c r="H523">
        <f t="shared" si="52"/>
        <v>4</v>
      </c>
      <c r="I523">
        <f t="shared" si="53"/>
        <v>23</v>
      </c>
      <c r="J523" t="str" cm="1">
        <f t="array" ref="J523">_xlfn.IFS(H523&lt;6,"Weekday",H523&gt;5,"Weekend")</f>
        <v>Weekday</v>
      </c>
    </row>
    <row r="524" spans="1:10" x14ac:dyDescent="0.25">
      <c r="A524" s="1">
        <v>45814</v>
      </c>
      <c r="B524" s="3" t="str" cm="1">
        <f t="array" ref="B524">_xlfn.IFS(H524=1,"Monday",H524=2,"Tuesday",H524=3,"Wednesday",H524=4,"Thursday",H524=5,"Friday",H524=6,"Saturday",H524=7,"Sunday")</f>
        <v>Friday</v>
      </c>
      <c r="C524" s="1">
        <f t="shared" si="48"/>
        <v>45810</v>
      </c>
      <c r="D524" s="1">
        <f t="shared" si="49"/>
        <v>45809</v>
      </c>
      <c r="E524" s="1" cm="1">
        <f t="array" ref="E524">DATE(YEAR(A524),_xlfn.IFS(MONTH(A524)&lt;=3,1,MONTH(A524)&lt;=6,4,MONTH(A524)&lt;=9,7,MONTH(A524)&lt;=12,10),1)</f>
        <v>45748</v>
      </c>
      <c r="F524" s="1">
        <f t="shared" si="50"/>
        <v>45658</v>
      </c>
      <c r="G524">
        <f t="shared" si="51"/>
        <v>6</v>
      </c>
      <c r="H524">
        <f t="shared" si="52"/>
        <v>5</v>
      </c>
      <c r="I524">
        <f t="shared" si="53"/>
        <v>23</v>
      </c>
      <c r="J524" t="str" cm="1">
        <f t="array" ref="J524">_xlfn.IFS(H524&lt;6,"Weekday",H524&gt;5,"Weekend")</f>
        <v>Weekday</v>
      </c>
    </row>
    <row r="525" spans="1:10" x14ac:dyDescent="0.25">
      <c r="A525" s="1">
        <v>45815</v>
      </c>
      <c r="B525" s="3" t="str" cm="1">
        <f t="array" ref="B525">_xlfn.IFS(H525=1,"Monday",H525=2,"Tuesday",H525=3,"Wednesday",H525=4,"Thursday",H525=5,"Friday",H525=6,"Saturday",H525=7,"Sunday")</f>
        <v>Saturday</v>
      </c>
      <c r="C525" s="1">
        <f t="shared" si="48"/>
        <v>45810</v>
      </c>
      <c r="D525" s="1">
        <f t="shared" si="49"/>
        <v>45809</v>
      </c>
      <c r="E525" s="1" cm="1">
        <f t="array" ref="E525">DATE(YEAR(A525),_xlfn.IFS(MONTH(A525)&lt;=3,1,MONTH(A525)&lt;=6,4,MONTH(A525)&lt;=9,7,MONTH(A525)&lt;=12,10),1)</f>
        <v>45748</v>
      </c>
      <c r="F525" s="1">
        <f t="shared" si="50"/>
        <v>45658</v>
      </c>
      <c r="G525">
        <f t="shared" si="51"/>
        <v>6</v>
      </c>
      <c r="H525">
        <f t="shared" si="52"/>
        <v>6</v>
      </c>
      <c r="I525">
        <f t="shared" si="53"/>
        <v>23</v>
      </c>
      <c r="J525" t="str" cm="1">
        <f t="array" ref="J525">_xlfn.IFS(H525&lt;6,"Weekday",H525&gt;5,"Weekend")</f>
        <v>Weekend</v>
      </c>
    </row>
    <row r="526" spans="1:10" x14ac:dyDescent="0.25">
      <c r="A526" s="1">
        <v>45816</v>
      </c>
      <c r="B526" s="3" t="str" cm="1">
        <f t="array" ref="B526">_xlfn.IFS(H526=1,"Monday",H526=2,"Tuesday",H526=3,"Wednesday",H526=4,"Thursday",H526=5,"Friday",H526=6,"Saturday",H526=7,"Sunday")</f>
        <v>Sunday</v>
      </c>
      <c r="C526" s="1">
        <f t="shared" si="48"/>
        <v>45810</v>
      </c>
      <c r="D526" s="1">
        <f t="shared" si="49"/>
        <v>45809</v>
      </c>
      <c r="E526" s="1" cm="1">
        <f t="array" ref="E526">DATE(YEAR(A526),_xlfn.IFS(MONTH(A526)&lt;=3,1,MONTH(A526)&lt;=6,4,MONTH(A526)&lt;=9,7,MONTH(A526)&lt;=12,10),1)</f>
        <v>45748</v>
      </c>
      <c r="F526" s="1">
        <f t="shared" si="50"/>
        <v>45658</v>
      </c>
      <c r="G526">
        <f t="shared" si="51"/>
        <v>6</v>
      </c>
      <c r="H526">
        <f t="shared" si="52"/>
        <v>7</v>
      </c>
      <c r="I526">
        <f t="shared" si="53"/>
        <v>23</v>
      </c>
      <c r="J526" t="str" cm="1">
        <f t="array" ref="J526">_xlfn.IFS(H526&lt;6,"Weekday",H526&gt;5,"Weekend")</f>
        <v>Weekend</v>
      </c>
    </row>
    <row r="527" spans="1:10" x14ac:dyDescent="0.25">
      <c r="A527" s="1">
        <v>45817</v>
      </c>
      <c r="B527" s="3" t="str" cm="1">
        <f t="array" ref="B527">_xlfn.IFS(H527=1,"Monday",H527=2,"Tuesday",H527=3,"Wednesday",H527=4,"Thursday",H527=5,"Friday",H527=6,"Saturday",H527=7,"Sunday")</f>
        <v>Monday</v>
      </c>
      <c r="C527" s="1">
        <f t="shared" si="48"/>
        <v>45817</v>
      </c>
      <c r="D527" s="1">
        <f t="shared" si="49"/>
        <v>45809</v>
      </c>
      <c r="E527" s="1" cm="1">
        <f t="array" ref="E527">DATE(YEAR(A527),_xlfn.IFS(MONTH(A527)&lt;=3,1,MONTH(A527)&lt;=6,4,MONTH(A527)&lt;=9,7,MONTH(A527)&lt;=12,10),1)</f>
        <v>45748</v>
      </c>
      <c r="F527" s="1">
        <f t="shared" si="50"/>
        <v>45658</v>
      </c>
      <c r="G527">
        <f t="shared" si="51"/>
        <v>6</v>
      </c>
      <c r="H527">
        <f t="shared" si="52"/>
        <v>1</v>
      </c>
      <c r="I527">
        <f t="shared" si="53"/>
        <v>24</v>
      </c>
      <c r="J527" t="str" cm="1">
        <f t="array" ref="J527">_xlfn.IFS(H527&lt;6,"Weekday",H527&gt;5,"Weekend")</f>
        <v>Weekday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Bartłomiej Czop</dc:creator>
  <cp:lastModifiedBy>Bartłomiej Czop</cp:lastModifiedBy>
  <dcterms:created xsi:type="dcterms:W3CDTF">2025-06-06T10:06:57Z</dcterms:created>
  <dcterms:modified xsi:type="dcterms:W3CDTF">2025-09-15T12:42:30Z</dcterms:modified>
</cp:coreProperties>
</file>